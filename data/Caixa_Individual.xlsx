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ixa Individual" sheetId="1" state="visible" r:id="rId3"/>
    <sheet name="Dados" sheetId="2" state="visible" r:id="rId4"/>
    <sheet name="Pagamento Individua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<sst xmlns="http://schemas.openxmlformats.org/spreadsheetml/2006/main" count="259" uniqueCount="99">
  <si>
    <t xml:space="preserve">Caixa Individual 2025</t>
  </si>
  <si>
    <t xml:space="preserve">Nome</t>
  </si>
  <si>
    <t xml:space="preserve">Valor Arrecadado</t>
  </si>
  <si>
    <t xml:space="preserve">Faltante</t>
  </si>
  <si>
    <t xml:space="preserve">Valor arrecadado total:</t>
  </si>
  <si>
    <t xml:space="preserve">Valor restante total:</t>
  </si>
  <si>
    <t xml:space="preserve">Atletas com pendência:</t>
  </si>
  <si>
    <t xml:space="preserve">CPF</t>
  </si>
  <si>
    <t xml:space="preserve">Time</t>
  </si>
  <si>
    <t xml:space="preserve">Rifa 1 - 01/05/2025</t>
  </si>
  <si>
    <t xml:space="preserve">Rifa 2 - 01/06/2025</t>
  </si>
  <si>
    <t xml:space="preserve">Rifa 3 - 01/08/2025</t>
  </si>
  <si>
    <t xml:space="preserve">Rifa CF - 01/10/2025</t>
  </si>
  <si>
    <t xml:space="preserve">Total</t>
  </si>
  <si>
    <t xml:space="preserve">Meta</t>
  </si>
  <si>
    <t xml:space="preserve">Amanda  Santos</t>
  </si>
  <si>
    <t xml:space="preserve">446.928.320-70</t>
  </si>
  <si>
    <t xml:space="preserve">Phoenix</t>
  </si>
  <si>
    <t xml:space="preserve">Ana Guimarães</t>
  </si>
  <si>
    <t xml:space="preserve">640.535.130-06</t>
  </si>
  <si>
    <t xml:space="preserve">Antonio Gonçalves</t>
  </si>
  <si>
    <t xml:space="preserve">880.953.950-80</t>
  </si>
  <si>
    <t xml:space="preserve">Bruna Kiyono</t>
  </si>
  <si>
    <t xml:space="preserve">635.334.670-07</t>
  </si>
  <si>
    <t xml:space="preserve">Immortals</t>
  </si>
  <si>
    <t xml:space="preserve">Calebe de Oliveira</t>
  </si>
  <si>
    <t xml:space="preserve">649.424.580-30</t>
  </si>
  <si>
    <t xml:space="preserve">Daniel Hara</t>
  </si>
  <si>
    <t xml:space="preserve">983.954.920-06</t>
  </si>
  <si>
    <t xml:space="preserve">Edilson Junior</t>
  </si>
  <si>
    <t xml:space="preserve">543.590.700-47</t>
  </si>
  <si>
    <t xml:space="preserve">Felipe Soares</t>
  </si>
  <si>
    <t xml:space="preserve">152.503.150-38</t>
  </si>
  <si>
    <t xml:space="preserve">Gabriel Trigolo</t>
  </si>
  <si>
    <t xml:space="preserve">790.068.370-40</t>
  </si>
  <si>
    <t xml:space="preserve">Gabriel de Oliveira</t>
  </si>
  <si>
    <t xml:space="preserve">341.251.760-78</t>
  </si>
  <si>
    <t xml:space="preserve">Gustavo Ribeiro</t>
  </si>
  <si>
    <t xml:space="preserve">011.103.590-20</t>
  </si>
  <si>
    <t xml:space="preserve">Heloá Da Silva</t>
  </si>
  <si>
    <t xml:space="preserve">458.775.990-20</t>
  </si>
  <si>
    <t xml:space="preserve">Heloisa de Oliveira</t>
  </si>
  <si>
    <t xml:space="preserve">171.537.830-08</t>
  </si>
  <si>
    <t xml:space="preserve">Igor Sena</t>
  </si>
  <si>
    <t xml:space="preserve">113.551.300-77</t>
  </si>
  <si>
    <t xml:space="preserve">João Bento</t>
  </si>
  <si>
    <t xml:space="preserve">738.034.990-20</t>
  </si>
  <si>
    <t xml:space="preserve">João de Almeida</t>
  </si>
  <si>
    <t xml:space="preserve">848.802.760-57</t>
  </si>
  <si>
    <t xml:space="preserve">João Pinho</t>
  </si>
  <si>
    <t xml:space="preserve">707.683.290-94</t>
  </si>
  <si>
    <t xml:space="preserve">João Santos</t>
  </si>
  <si>
    <t xml:space="preserve">501.040.960-71</t>
  </si>
  <si>
    <t xml:space="preserve">Júlia Real</t>
  </si>
  <si>
    <t xml:space="preserve">905.346.880-39</t>
  </si>
  <si>
    <t xml:space="preserve">final de 07</t>
  </si>
  <si>
    <t xml:space="preserve">Kaue Nunes</t>
  </si>
  <si>
    <t xml:space="preserve">711.031.530-48</t>
  </si>
  <si>
    <t xml:space="preserve">Letícia Pereira</t>
  </si>
  <si>
    <t xml:space="preserve">975.524.820-01</t>
  </si>
  <si>
    <t xml:space="preserve">Luan Macedo</t>
  </si>
  <si>
    <t xml:space="preserve">454.648.920-01</t>
  </si>
  <si>
    <t xml:space="preserve">Luanda Vital</t>
  </si>
  <si>
    <t xml:space="preserve">216.652.530-02</t>
  </si>
  <si>
    <t xml:space="preserve">Lucas Bruck</t>
  </si>
  <si>
    <t xml:space="preserve">978.074.480-08</t>
  </si>
  <si>
    <t xml:space="preserve">Luiz Pinto</t>
  </si>
  <si>
    <t xml:space="preserve">290.456.840-98</t>
  </si>
  <si>
    <t xml:space="preserve">Marcelo Ruiz</t>
  </si>
  <si>
    <t xml:space="preserve">355.157.500-20</t>
  </si>
  <si>
    <t xml:space="preserve">Maria Santos</t>
  </si>
  <si>
    <t xml:space="preserve">352.057.710-03</t>
  </si>
  <si>
    <t xml:space="preserve">Mateus Pazinatto</t>
  </si>
  <si>
    <t xml:space="preserve">451.727.610-47</t>
  </si>
  <si>
    <t xml:space="preserve">Matheus Fenili</t>
  </si>
  <si>
    <t xml:space="preserve">102.590.770-11</t>
  </si>
  <si>
    <t xml:space="preserve">Natalia Massari</t>
  </si>
  <si>
    <t xml:space="preserve">036.678.680-65</t>
  </si>
  <si>
    <t xml:space="preserve">Nestor Junior</t>
  </si>
  <si>
    <t xml:space="preserve">504.682.600-30</t>
  </si>
  <si>
    <t xml:space="preserve">Rhafaela  Oliveira</t>
  </si>
  <si>
    <t xml:space="preserve">666.679.320-09</t>
  </si>
  <si>
    <t xml:space="preserve">Yaron Büchler</t>
  </si>
  <si>
    <t xml:space="preserve">591.381.000-70</t>
  </si>
  <si>
    <t xml:space="preserve">Categoria De Pagamento</t>
  </si>
  <si>
    <t xml:space="preserve">Valor  - 01/10/2025</t>
  </si>
  <si>
    <t xml:space="preserve">Valor  - 01/11/2025</t>
  </si>
  <si>
    <t xml:space="preserve">Valor -  01/12/2025</t>
  </si>
  <si>
    <t xml:space="preserve">Valor - 01/1/2026</t>
  </si>
  <si>
    <t xml:space="preserve">Total Arrecadado</t>
  </si>
  <si>
    <t xml:space="preserve">Total faltante</t>
  </si>
  <si>
    <t xml:space="preserve">VALOR MOSTRADO NO RELATORIO</t>
  </si>
  <si>
    <t xml:space="preserve">Pagara Total</t>
  </si>
  <si>
    <t xml:space="preserve">Valor Mês 10</t>
  </si>
  <si>
    <t xml:space="preserve">Valor Mês 11</t>
  </si>
  <si>
    <t xml:space="preserve">Valor Mês 12</t>
  </si>
  <si>
    <t xml:space="preserve">Valor Mês 1/26</t>
  </si>
  <si>
    <t xml:space="preserve">Pagara Parcial</t>
  </si>
  <si>
    <t xml:space="preserve">NA</t>
  </si>
</sst>
</file>

<file path=xl/styles.xml><?xml version="1.0" encoding="utf-8"?>
<styleSheet xmlns="http://schemas.openxmlformats.org/spreadsheetml/2006/main">
  <numFmts count="3">
    <numFmt numFmtId="164" formatCode="_-&quot;R$ &quot;* #,##0.00_-;&quot;-R$ &quot;* #,##0.00_-;_-&quot;R$ &quot;* \-??_-;_-@"/>
    <numFmt numFmtId="165" formatCode="General"/>
    <numFmt numFmtId="166" formatCode="General"/>
  </numFmts>
  <fonts count="14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Bahnschrift SemiCondensed"/>
      <family val="0"/>
      <charset val="1"/>
    </font>
    <font>
      <b val="true"/>
      <sz val="24"/>
      <color theme="1"/>
      <name val="Bahnschrift SemiCondensed"/>
      <family val="0"/>
      <charset val="1"/>
    </font>
    <font>
      <b val="true"/>
      <sz val="16"/>
      <color theme="1"/>
      <name val="Bahnschrift SemiCondensed"/>
      <family val="0"/>
      <charset val="1"/>
    </font>
    <font>
      <b val="true"/>
      <sz val="14"/>
      <color theme="1"/>
      <name val="Bahnschrift SemiCondensed"/>
      <family val="0"/>
      <charset val="1"/>
    </font>
    <font>
      <sz val="14"/>
      <color theme="1"/>
      <name val="Bahnschrift SemiCondensed"/>
      <family val="0"/>
      <charset val="1"/>
    </font>
    <font>
      <sz val="14"/>
      <color rgb="FF000000"/>
      <name val="Bahnschrift SemiCondensed"/>
      <family val="0"/>
      <charset val="1"/>
    </font>
    <font>
      <u val="single"/>
      <sz val="11"/>
      <color theme="1"/>
      <name val="Bahnschrift SemiCondensed"/>
      <family val="0"/>
      <charset val="1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rgb="FF20212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202124"/>
      </patternFill>
    </fill>
    <fill>
      <patternFill patternType="solid">
        <fgColor rgb="FFFFB909"/>
        <bgColor rgb="FFFF9900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</borders>
  <cellStyleXfs count="20"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275417"/>
      </font>
      <fill>
        <patternFill>
          <bgColor rgb="FFD9F2D0"/>
        </patternFill>
      </fill>
      <border diagonalUp="false" diagonalDown="false">
        <left style="thin">
          <color rgb="FF275317"/>
        </left>
        <right style="thin">
          <color rgb="FF275317"/>
        </right>
        <top style="thin">
          <color rgb="FF275317"/>
        </top>
        <bottom style="thin">
          <color rgb="FF275317"/>
        </bottom>
        <diagonal/>
      </border>
    </dxf>
    <dxf>
      <font>
        <color rgb="FF7E370E"/>
      </font>
      <numFmt numFmtId="164" formatCode="_-&quot;R$ &quot;* #,##0.00_-;&quot;-R$ &quot;* #,##0.00_-;_-&quot;R$ &quot;* \-??_-;_-@"/>
      <fill>
        <patternFill>
          <bgColor rgb="FFFAE2D5"/>
        </patternFill>
      </fill>
      <border diagonalUp="false" diagonalDown="false">
        <left style="thin">
          <color rgb="FF7E360E"/>
        </left>
        <right style="thin">
          <color rgb="FF7E360E"/>
        </right>
        <top style="thin">
          <color rgb="FF7E360E"/>
        </top>
        <bottom style="thin">
          <color rgb="FF7E360E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E370E"/>
      <rgbColor rgb="FFFAE2D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909"/>
      <rgbColor rgb="FFFF9900"/>
      <rgbColor rgb="FFFF6600"/>
      <rgbColor rgb="FF666699"/>
      <rgbColor rgb="FF969696"/>
      <rgbColor rgb="FF003366"/>
      <rgbColor rgb="FF339966"/>
      <rgbColor rgb="FF275417"/>
      <rgbColor rgb="FF275317"/>
      <rgbColor rgb="FF7E360E"/>
      <rgbColor rgb="FF993366"/>
      <rgbColor rgb="FF333399"/>
      <rgbColor rgb="FF2021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3" activeCellId="0" sqref="G23"/>
    </sheetView>
  </sheetViews>
  <sheetFormatPr defaultColWidth="12.628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5.88"/>
    <col collapsed="false" customWidth="true" hidden="false" outlineLevel="0" max="3" min="3" style="0" width="23.38"/>
    <col collapsed="false" customWidth="true" hidden="false" outlineLevel="0" max="5" min="4" style="0" width="16.38"/>
    <col collapsed="false" customWidth="true" hidden="false" outlineLevel="0" max="6" min="6" style="0" width="9"/>
    <col collapsed="false" customWidth="true" hidden="false" outlineLevel="0" max="7" min="7" style="0" width="31.88"/>
    <col collapsed="false" customWidth="true" hidden="false" outlineLevel="0" max="8" min="8" style="0" width="23.38"/>
    <col collapsed="false" customWidth="true" hidden="false" outlineLevel="0" max="9" min="9" style="0" width="16.38"/>
    <col collapsed="false" customWidth="true" hidden="false" outlineLevel="0" max="26" min="10" style="0" width="9"/>
  </cols>
  <sheetData>
    <row r="1" customFormat="false" ht="6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14.25" hidden="false" customHeight="true" outlineLevel="0" collapsed="false">
      <c r="A2" s="3"/>
      <c r="B2" s="4" t="s">
        <v>0</v>
      </c>
      <c r="C2" s="3"/>
      <c r="D2" s="3"/>
      <c r="E2" s="3"/>
      <c r="F2" s="3"/>
      <c r="G2" s="3"/>
      <c r="H2" s="3"/>
      <c r="I2" s="3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30" hidden="false" customHeight="tru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8" hidden="false" customHeight="true" outlineLevel="0" collapsed="false">
      <c r="A4" s="2"/>
      <c r="B4" s="5"/>
      <c r="C4" s="5"/>
      <c r="D4" s="5"/>
      <c r="E4" s="5"/>
      <c r="F4" s="2"/>
      <c r="G4" s="2"/>
      <c r="H4" s="6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14.25" hidden="false" customHeight="true" outlineLevel="0" collapsed="false">
      <c r="A5" s="2"/>
      <c r="B5" s="7" t="s">
        <v>1</v>
      </c>
      <c r="C5" s="7" t="s">
        <v>2</v>
      </c>
      <c r="D5" s="7" t="s">
        <v>3</v>
      </c>
      <c r="E5" s="2"/>
      <c r="F5" s="2"/>
      <c r="G5" s="8" t="s">
        <v>4</v>
      </c>
      <c r="H5" s="9" t="n">
        <f aca="false">SUM('Caixa Individual'!$C$6:$C$38)</f>
        <v>6349.634444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customFormat="false" ht="14.25" hidden="false" customHeight="true" outlineLevel="0" collapsed="false">
      <c r="A6" s="2"/>
      <c r="B6" s="10" t="str">
        <f aca="false">IF(Dados!A3="","",Dados!A3)</f>
        <v>Amanda  Santos</v>
      </c>
      <c r="C6" s="11" t="n">
        <f aca="false">SUMIF(Dados!$A$3:$A$36,Dados!A3,Dados!$H$3:$H$36) + SUMIF('Pagamento Individual'!$A$3:$A$26,Dados!A3,'Pagamento Individual'!$I$3:$I$26)</f>
        <v>150</v>
      </c>
      <c r="D6" s="11" t="n">
        <f aca="false">IF('Caixa Individual'!$C6&lt;Dados!$J$3,Dados!$J$3-'Caixa Individual'!$C6,"OK")</f>
        <v>422</v>
      </c>
      <c r="E6" s="2"/>
      <c r="F6" s="2"/>
      <c r="G6" s="8" t="s">
        <v>5</v>
      </c>
      <c r="H6" s="9" t="n">
        <f aca="false">-SUM('Caixa Individual'!$D$6:$D$38)</f>
        <v>-12526.36556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customFormat="false" ht="14.25" hidden="false" customHeight="true" outlineLevel="0" collapsed="false">
      <c r="A7" s="2"/>
      <c r="B7" s="12" t="str">
        <f aca="false">IF(Dados!A4="","",Dados!A4)</f>
        <v>Ana Guimarães</v>
      </c>
      <c r="C7" s="11" t="n">
        <f aca="false">SUMIF(Dados!$A$3:$A$36,Dados!A4,Dados!$H$3:$H$36) + SUMIF('Pagamento Individual'!$A$3:$A$26,Dados!A4,'Pagamento Individual'!$I$3:$I$26)</f>
        <v>138.25</v>
      </c>
      <c r="D7" s="11" t="n">
        <f aca="false">IF('Caixa Individual'!$C7&lt;Dados!$J$3,Dados!$J$3-'Caixa Individual'!$C7,"OK")</f>
        <v>433.75</v>
      </c>
      <c r="E7" s="2"/>
      <c r="F7" s="2"/>
      <c r="G7" s="8" t="s">
        <v>6</v>
      </c>
      <c r="H7" s="13" t="n">
        <f aca="false">SUM(COUNTA('Caixa Individual'!$D$6:$D$38)-COUNTIF('Caixa Individual'!$D$6:$D$38,"OK"))</f>
        <v>31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customFormat="false" ht="14.25" hidden="false" customHeight="true" outlineLevel="0" collapsed="false">
      <c r="A8" s="2"/>
      <c r="B8" s="12" t="str">
        <f aca="false">IF(Dados!A5="","",Dados!A5)</f>
        <v>Antonio Gonçalves</v>
      </c>
      <c r="C8" s="11" t="n">
        <f aca="false">SUMIF(Dados!$A$3:$A$36,Dados!A5,Dados!$H$3:$H$36) + SUMIF('Pagamento Individual'!$A$3:$A$26,Dados!A5,'Pagamento Individual'!$I$3:$I$26)</f>
        <v>300</v>
      </c>
      <c r="D8" s="11" t="n">
        <f aca="false">IF('Caixa Individual'!$C8&lt;Dados!$J$3,Dados!$J$3-'Caixa Individual'!$C8,"OK")</f>
        <v>272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customFormat="false" ht="14.25" hidden="false" customHeight="true" outlineLevel="0" collapsed="false">
      <c r="A9" s="2"/>
      <c r="B9" s="12" t="str">
        <f aca="false">IF(Dados!A6="","",Dados!A6)</f>
        <v>Bruna Kiyono</v>
      </c>
      <c r="C9" s="11" t="n">
        <f aca="false">SUMIF(Dados!$A$3:$A$36,Dados!A6,Dados!$H$3:$H$36) + SUMIF('Pagamento Individual'!$A$3:$A$26,Dados!A6,'Pagamento Individual'!$I$3:$I$26)</f>
        <v>200</v>
      </c>
      <c r="D9" s="11" t="n">
        <f aca="false">IF('Caixa Individual'!$C9&lt;Dados!$J$3,Dados!$J$3-'Caixa Individual'!$C9,"OK")</f>
        <v>372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customFormat="false" ht="14.25" hidden="false" customHeight="true" outlineLevel="0" collapsed="false">
      <c r="A10" s="2"/>
      <c r="B10" s="10" t="str">
        <f aca="false">IF(Dados!A7="","",Dados!A7)</f>
        <v>Calebe de Oliveira</v>
      </c>
      <c r="C10" s="11" t="n">
        <f aca="false">SUMIF(Dados!$A$3:$A$36,Dados!A7,Dados!$H$3:$H$36) + SUMIF('Pagamento Individual'!$A$3:$A$26,Dados!A7,'Pagamento Individual'!$I$3:$I$26)</f>
        <v>249.43</v>
      </c>
      <c r="D10" s="11" t="n">
        <f aca="false">IF('Caixa Individual'!$C10&lt;Dados!$J$3,Dados!$J$3-'Caixa Individual'!$C10,"OK")</f>
        <v>322.57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customFormat="false" ht="14.25" hidden="false" customHeight="true" outlineLevel="0" collapsed="false">
      <c r="A11" s="2"/>
      <c r="B11" s="12" t="str">
        <f aca="false">IF(Dados!A8="","",Dados!A8)</f>
        <v>Daniel Hara</v>
      </c>
      <c r="C11" s="11" t="n">
        <f aca="false">SUMIF(Dados!$A$3:$A$36,Dados!A8,Dados!$H$3:$H$36) + SUMIF('Pagamento Individual'!$A$3:$A$26,Dados!A8,'Pagamento Individual'!$I$3:$I$26)</f>
        <v>572</v>
      </c>
      <c r="D11" s="11" t="str">
        <f aca="false">IF('Caixa Individual'!$C11&lt;Dados!$J$3,Dados!$J$3-'Caixa Individual'!$C11,"OK")</f>
        <v>OK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customFormat="false" ht="14.25" hidden="false" customHeight="true" outlineLevel="0" collapsed="false">
      <c r="A12" s="2"/>
      <c r="B12" s="12" t="str">
        <f aca="false">IF(Dados!A9="","",Dados!A9)</f>
        <v>Edilson Junior</v>
      </c>
      <c r="C12" s="11" t="n">
        <f aca="false">SUMIF(Dados!$A$3:$A$36,Dados!A9,Dados!$H$3:$H$36) + SUMIF('Pagamento Individual'!$A$3:$A$26,Dados!A9,'Pagamento Individual'!$I$3:$I$26)</f>
        <v>159.43</v>
      </c>
      <c r="D12" s="11" t="n">
        <f aca="false">IF('Caixa Individual'!$C12&lt;Dados!$J$3,Dados!$J$3-'Caixa Individual'!$C12,"OK")</f>
        <v>412.57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customFormat="false" ht="14.25" hidden="false" customHeight="true" outlineLevel="0" collapsed="false">
      <c r="A13" s="2"/>
      <c r="B13" s="12" t="str">
        <f aca="false">IF(Dados!A10="","",Dados!A10)</f>
        <v>Felipe Soares</v>
      </c>
      <c r="C13" s="11" t="n">
        <f aca="false">SUMIF(Dados!$A$3:$A$36,Dados!A10,Dados!$H$3:$H$36) + SUMIF('Pagamento Individual'!$A$3:$A$26,Dados!A10,'Pagamento Individual'!$I$3:$I$26)</f>
        <v>159.43</v>
      </c>
      <c r="D13" s="11" t="n">
        <f aca="false">IF('Caixa Individual'!$C13&lt;Dados!$J$3,Dados!$J$3-'Caixa Individual'!$C13,"OK")</f>
        <v>412.57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customFormat="false" ht="14.25" hidden="false" customHeight="true" outlineLevel="0" collapsed="false">
      <c r="A14" s="2"/>
      <c r="B14" s="12" t="str">
        <f aca="false">IF(Dados!A11="","",Dados!A11)</f>
        <v>Gabriel Trigolo</v>
      </c>
      <c r="C14" s="11" t="n">
        <f aca="false">SUMIF(Dados!$A$3:$A$36,Dados!A11,Dados!$H$3:$H$36) + SUMIF('Pagamento Individual'!$A$3:$A$26,Dados!A11,'Pagamento Individual'!$I$3:$I$26)</f>
        <v>198.43</v>
      </c>
      <c r="D14" s="11" t="n">
        <f aca="false">IF('Caixa Individual'!$C14&lt;Dados!$J$3,Dados!$J$3-'Caixa Individual'!$C14,"OK")</f>
        <v>373.57</v>
      </c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customFormat="false" ht="14.25" hidden="false" customHeight="true" outlineLevel="0" collapsed="false">
      <c r="A15" s="2"/>
      <c r="B15" s="12" t="str">
        <f aca="false">IF(Dados!A12="","",Dados!A12)</f>
        <v>Gabriel de Oliveira</v>
      </c>
      <c r="C15" s="11" t="n">
        <f aca="false">SUMIF(Dados!$A$3:$A$36,Dados!A12,Dados!$H$3:$H$36) + SUMIF('Pagamento Individual'!$A$3:$A$26,Dados!A12,'Pagamento Individual'!$I$3:$I$26)</f>
        <v>200</v>
      </c>
      <c r="D15" s="11" t="n">
        <f aca="false">IF('Caixa Individual'!$C15&lt;Dados!$J$3,Dados!$J$3-'Caixa Individual'!$C15,"OK")</f>
        <v>372</v>
      </c>
      <c r="E15" s="2"/>
      <c r="F15" s="2"/>
      <c r="G15" s="14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customFormat="false" ht="14.25" hidden="false" customHeight="true" outlineLevel="0" collapsed="false">
      <c r="A16" s="2"/>
      <c r="B16" s="12" t="str">
        <f aca="false">IF(Dados!A13="","",Dados!A13)</f>
        <v>Gustavo Ribeiro</v>
      </c>
      <c r="C16" s="11" t="n">
        <f aca="false">SUMIF(Dados!$A$3:$A$36,Dados!A13,Dados!$H$3:$H$36) + SUMIF('Pagamento Individual'!$A$3:$A$26,Dados!A13,'Pagamento Individual'!$I$3:$I$26)</f>
        <v>150</v>
      </c>
      <c r="D16" s="11" t="n">
        <f aca="false">IF('Caixa Individual'!$C16&lt;Dados!$J$3,Dados!$J$3-'Caixa Individual'!$C16,"OK")</f>
        <v>422</v>
      </c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customFormat="false" ht="14.25" hidden="false" customHeight="true" outlineLevel="0" collapsed="false">
      <c r="A17" s="2"/>
      <c r="B17" s="12" t="str">
        <f aca="false">IF(Dados!A14="","",Dados!A14)</f>
        <v>Heloá Da Silva</v>
      </c>
      <c r="C17" s="11" t="n">
        <f aca="false">SUMIF(Dados!$A$3:$A$36,Dados!A14,Dados!$H$3:$H$36) + SUMIF('Pagamento Individual'!$A$3:$A$26,Dados!A14,'Pagamento Individual'!$I$3:$I$26)</f>
        <v>159.43</v>
      </c>
      <c r="D17" s="11" t="n">
        <f aca="false">IF('Caixa Individual'!$C17&lt;Dados!$J$3,Dados!$J$3-'Caixa Individual'!$C17,"OK")</f>
        <v>412.57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customFormat="false" ht="14.25" hidden="false" customHeight="true" outlineLevel="0" collapsed="false">
      <c r="A18" s="2"/>
      <c r="B18" s="12" t="str">
        <f aca="false">IF(Dados!A15="","",Dados!A15)</f>
        <v>Heloisa de Oliveira</v>
      </c>
      <c r="C18" s="11" t="n">
        <f aca="false">SUMIF(Dados!$A$3:$A$36,Dados!A15,Dados!$H$3:$H$36) + SUMIF('Pagamento Individual'!$A$3:$A$26,Dados!A15,'Pagamento Individual'!$I$3:$I$26)</f>
        <v>159.43</v>
      </c>
      <c r="D18" s="11" t="n">
        <f aca="false">IF('Caixa Individual'!$C18&lt;Dados!$J$3,Dados!$J$3-'Caixa Individual'!$C18,"OK")</f>
        <v>412.57</v>
      </c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customFormat="false" ht="14.25" hidden="false" customHeight="true" outlineLevel="0" collapsed="false">
      <c r="A19" s="2"/>
      <c r="B19" s="12" t="str">
        <f aca="false">IF(Dados!A16="","",Dados!A16)</f>
        <v>Igor Sena</v>
      </c>
      <c r="C19" s="11" t="n">
        <f aca="false">SUMIF(Dados!$A$3:$A$36,Dados!A16,Dados!$H$3:$H$36) + SUMIF('Pagamento Individual'!$A$3:$A$26,Dados!A16,'Pagamento Individual'!$I$3:$I$26)</f>
        <v>411.8444444</v>
      </c>
      <c r="D19" s="11" t="n">
        <f aca="false">IF('Caixa Individual'!$C19&lt;Dados!$J$3,Dados!$J$3-'Caixa Individual'!$C19,"OK")</f>
        <v>160.1555556</v>
      </c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customFormat="false" ht="14.25" hidden="false" customHeight="true" outlineLevel="0" collapsed="false">
      <c r="A20" s="2"/>
      <c r="B20" s="12" t="str">
        <f aca="false">IF(Dados!A17="","",Dados!A17)</f>
        <v>João Bento</v>
      </c>
      <c r="C20" s="11" t="n">
        <f aca="false">SUMIF(Dados!$A$3:$A$36,Dados!A17,Dados!$H$3:$H$36) + SUMIF('Pagamento Individual'!$A$3:$A$26,Dados!A17,'Pagamento Individual'!$I$3:$I$26)</f>
        <v>150</v>
      </c>
      <c r="D20" s="11" t="n">
        <f aca="false">IF('Caixa Individual'!$C20&lt;Dados!$J$3,Dados!$J$3-'Caixa Individual'!$C20,"OK")</f>
        <v>422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customFormat="false" ht="14.25" hidden="false" customHeight="true" outlineLevel="0" collapsed="false">
      <c r="A21" s="2"/>
      <c r="B21" s="12" t="str">
        <f aca="false">IF(Dados!A18="","",Dados!A18)</f>
        <v>João de Almeida</v>
      </c>
      <c r="C21" s="11" t="n">
        <f aca="false">SUMIF(Dados!$A$3:$A$36,Dados!A18,Dados!$H$3:$H$36) + SUMIF('Pagamento Individual'!$A$3:$A$26,Dados!A18,'Pagamento Individual'!$I$3:$I$26)</f>
        <v>147.68</v>
      </c>
      <c r="D21" s="11" t="n">
        <f aca="false">IF('Caixa Individual'!$C21&lt;Dados!$J$3,Dados!$J$3-'Caixa Individual'!$C21,"OK")</f>
        <v>424.32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customFormat="false" ht="14.25" hidden="false" customHeight="true" outlineLevel="0" collapsed="false">
      <c r="A22" s="2"/>
      <c r="B22" s="12" t="str">
        <f aca="false">IF(Dados!A19="","",Dados!A19)</f>
        <v>João Pinho</v>
      </c>
      <c r="C22" s="11" t="n">
        <f aca="false">SUMIF(Dados!$A$3:$A$36,Dados!A19,Dados!$H$3:$H$36) + SUMIF('Pagamento Individual'!$A$3:$A$26,Dados!A19,'Pagamento Individual'!$I$3:$I$26)</f>
        <v>159.43</v>
      </c>
      <c r="D22" s="11" t="n">
        <f aca="false">IF('Caixa Individual'!$C22&lt;Dados!$J$3,Dados!$J$3-'Caixa Individual'!$C22,"OK")</f>
        <v>412.57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customFormat="false" ht="14.25" hidden="false" customHeight="true" outlineLevel="0" collapsed="false">
      <c r="A23" s="2"/>
      <c r="B23" s="12" t="str">
        <f aca="false">IF(Dados!A20="","",Dados!A20)</f>
        <v>João Santos</v>
      </c>
      <c r="C23" s="11" t="n">
        <f aca="false">SUMIF(Dados!$A$3:$A$36,Dados!A20,Dados!$H$3:$H$36) + SUMIF('Pagamento Individual'!$A$3:$A$26,Dados!A20,'Pagamento Individual'!$I$3:$I$26)</f>
        <v>147.68</v>
      </c>
      <c r="D23" s="11" t="n">
        <f aca="false">IF('Caixa Individual'!$C23&lt;Dados!$J$3,Dados!$J$3-'Caixa Individual'!$C23,"OK")</f>
        <v>424.32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customFormat="false" ht="14.25" hidden="false" customHeight="true" outlineLevel="0" collapsed="false">
      <c r="A24" s="2"/>
      <c r="B24" s="12" t="str">
        <f aca="false">IF(Dados!A21="","",Dados!A21)</f>
        <v>Júlia Real</v>
      </c>
      <c r="C24" s="11" t="n">
        <f aca="false">SUMIF(Dados!$A$3:$A$36,Dados!A21,Dados!$H$3:$H$36) + SUMIF('Pagamento Individual'!$A$3:$A$26,Dados!A21,'Pagamento Individual'!$I$3:$I$26)</f>
        <v>37.43</v>
      </c>
      <c r="D24" s="11" t="n">
        <f aca="false">IF('Caixa Individual'!$C24&lt;Dados!$J$3,Dados!$J$3-'Caixa Individual'!$C24,"OK")</f>
        <v>534.57</v>
      </c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customFormat="false" ht="14.25" hidden="false" customHeight="true" outlineLevel="0" collapsed="false">
      <c r="A25" s="2"/>
      <c r="B25" s="12" t="str">
        <f aca="false">IF(Dados!A22="","",Dados!A22)</f>
        <v>Kaue Nunes</v>
      </c>
      <c r="C25" s="11" t="n">
        <f aca="false">SUMIF(Dados!$A$3:$A$36,Dados!A22,Dados!$H$3:$H$36) + SUMIF('Pagamento Individual'!$A$3:$A$26,Dados!A22,'Pagamento Individual'!$I$3:$I$26)</f>
        <v>114.9</v>
      </c>
      <c r="D25" s="11" t="n">
        <f aca="false">IF('Caixa Individual'!$C25&lt;Dados!$J$3,Dados!$J$3-'Caixa Individual'!$C25,"OK")</f>
        <v>457.1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customFormat="false" ht="14.25" hidden="false" customHeight="true" outlineLevel="0" collapsed="false">
      <c r="A26" s="2"/>
      <c r="B26" s="12" t="str">
        <f aca="false">IF(Dados!A23="","",Dados!A23)</f>
        <v>Letícia Pereira</v>
      </c>
      <c r="C26" s="11" t="n">
        <f aca="false">SUMIF(Dados!$A$3:$A$36,Dados!A23,Dados!$H$3:$H$36) + SUMIF('Pagamento Individual'!$A$3:$A$26,Dados!A23,'Pagamento Individual'!$I$3:$I$26)</f>
        <v>200</v>
      </c>
      <c r="D26" s="11" t="n">
        <f aca="false">IF('Caixa Individual'!$C26&lt;Dados!$J$3,Dados!$J$3-'Caixa Individual'!$C26,"OK")</f>
        <v>372</v>
      </c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customFormat="false" ht="14.25" hidden="false" customHeight="true" outlineLevel="0" collapsed="false">
      <c r="A27" s="2"/>
      <c r="B27" s="12" t="str">
        <f aca="false">IF(Dados!A24="","",Dados!A24)</f>
        <v>Luan Macedo</v>
      </c>
      <c r="C27" s="11" t="n">
        <f aca="false">SUMIF(Dados!$A$3:$A$36,Dados!A24,Dados!$H$3:$H$36) + SUMIF('Pagamento Individual'!$A$3:$A$26,Dados!A24,'Pagamento Individual'!$I$3:$I$26)</f>
        <v>200</v>
      </c>
      <c r="D27" s="11" t="n">
        <f aca="false">IF('Caixa Individual'!$C27&lt;Dados!$J$3,Dados!$J$3-'Caixa Individual'!$C27,"OK")</f>
        <v>372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customFormat="false" ht="14.25" hidden="false" customHeight="true" outlineLevel="0" collapsed="false">
      <c r="A28" s="2"/>
      <c r="B28" s="12" t="str">
        <f aca="false">IF(Dados!A25="","",Dados!A25)</f>
        <v>Luanda Vital</v>
      </c>
      <c r="C28" s="11" t="n">
        <f aca="false">SUMIF(Dados!$A$3:$A$36,Dados!A25,Dados!$H$3:$H$36) + SUMIF('Pagamento Individual'!$A$3:$A$26,Dados!A25,'Pagamento Individual'!$I$3:$I$26)</f>
        <v>9.43</v>
      </c>
      <c r="D28" s="11" t="n">
        <f aca="false">IF('Caixa Individual'!$C28&lt;Dados!$J$3,Dados!$J$3-'Caixa Individual'!$C28,"OK")</f>
        <v>562.57</v>
      </c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customFormat="false" ht="14.25" hidden="false" customHeight="true" outlineLevel="0" collapsed="false">
      <c r="A29" s="2"/>
      <c r="B29" s="12" t="str">
        <f aca="false">IF(Dados!A26="","",Dados!A26)</f>
        <v>Lucas Bruck</v>
      </c>
      <c r="C29" s="11" t="n">
        <f aca="false">SUMIF(Dados!$A$3:$A$36,Dados!A26,Dados!$H$3:$H$36) + SUMIF('Pagamento Individual'!$A$3:$A$26,Dados!A26,'Pagamento Individual'!$I$3:$I$26)</f>
        <v>209.43</v>
      </c>
      <c r="D29" s="11" t="n">
        <f aca="false">IF('Caixa Individual'!$C29&lt;Dados!$J$3,Dados!$J$3-'Caixa Individual'!$C29,"OK")</f>
        <v>362.57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customFormat="false" ht="14.25" hidden="false" customHeight="true" outlineLevel="0" collapsed="false">
      <c r="A30" s="2"/>
      <c r="B30" s="12" t="str">
        <f aca="false">IF(Dados!A27="","",Dados!A27)</f>
        <v>Luiz Pinto</v>
      </c>
      <c r="C30" s="11" t="n">
        <f aca="false">SUMIF(Dados!$A$3:$A$36,Dados!A27,Dados!$H$3:$H$36) + SUMIF('Pagamento Individual'!$A$3:$A$26,Dados!A27,'Pagamento Individual'!$I$3:$I$26)</f>
        <v>0</v>
      </c>
      <c r="D30" s="11" t="n">
        <f aca="false">IF('Caixa Individual'!$C30&lt;Dados!$J$3,Dados!$J$3-'Caixa Individual'!$C30,"OK")</f>
        <v>572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customFormat="false" ht="14.25" hidden="false" customHeight="true" outlineLevel="0" collapsed="false">
      <c r="A31" s="2"/>
      <c r="B31" s="12" t="str">
        <f aca="false">IF(Dados!A28="","",Dados!A28)</f>
        <v>Marcelo Ruiz</v>
      </c>
      <c r="C31" s="11" t="n">
        <f aca="false">SUMIF(Dados!$A$3:$A$36,Dados!A28,Dados!$H$3:$H$36) + SUMIF('Pagamento Individual'!$A$3:$A$26,Dados!A28,'Pagamento Individual'!$I$3:$I$26)</f>
        <v>572</v>
      </c>
      <c r="D31" s="11" t="str">
        <f aca="false">IF('Caixa Individual'!$C31&lt;Dados!$J$3,Dados!$J$3-'Caixa Individual'!$C31,"OK")</f>
        <v>OK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customFormat="false" ht="14.25" hidden="false" customHeight="true" outlineLevel="0" collapsed="false">
      <c r="A32" s="2"/>
      <c r="B32" s="12" t="str">
        <f aca="false">IF(Dados!A29="","",Dados!A29)</f>
        <v>Maria Santos</v>
      </c>
      <c r="C32" s="11" t="n">
        <f aca="false">SUMIF(Dados!$A$3:$A$36,Dados!A29,Dados!$H$3:$H$36) + SUMIF('Pagamento Individual'!$A$3:$A$26,Dados!A29,'Pagamento Individual'!$I$3:$I$26)</f>
        <v>300</v>
      </c>
      <c r="D32" s="11" t="n">
        <f aca="false">IF('Caixa Individual'!$C32&lt;Dados!$J$3,Dados!$J$3-'Caixa Individual'!$C32,"OK")</f>
        <v>272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customFormat="false" ht="14.25" hidden="false" customHeight="true" outlineLevel="0" collapsed="false">
      <c r="A33" s="2"/>
      <c r="B33" s="12" t="str">
        <f aca="false">IF(Dados!A30="","",Dados!A30)</f>
        <v>Mateus Pazinatto</v>
      </c>
      <c r="C33" s="11" t="n">
        <f aca="false">SUMIF(Dados!$A$3:$A$36,Dados!A30,Dados!$H$3:$H$36) + SUMIF('Pagamento Individual'!$A$3:$A$26,Dados!A30,'Pagamento Individual'!$I$3:$I$26)</f>
        <v>159.43</v>
      </c>
      <c r="D33" s="11" t="n">
        <f aca="false">IF('Caixa Individual'!$C33&lt;Dados!$J$3,Dados!$J$3-'Caixa Individual'!$C33,"OK")</f>
        <v>412.57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customFormat="false" ht="14.25" hidden="false" customHeight="true" outlineLevel="0" collapsed="false">
      <c r="A34" s="2"/>
      <c r="B34" s="12" t="str">
        <f aca="false">IF(Dados!A31="","",Dados!A31)</f>
        <v>Matheus Fenili</v>
      </c>
      <c r="C34" s="11" t="n">
        <f aca="false">SUMIF(Dados!$A$3:$A$36,Dados!A31,Dados!$H$3:$H$36) + SUMIF('Pagamento Individual'!$A$3:$A$26,Dados!A31,'Pagamento Individual'!$I$3:$I$26)</f>
        <v>159.43</v>
      </c>
      <c r="D34" s="11" t="n">
        <f aca="false">IF('Caixa Individual'!$C34&lt;Dados!$J$3,Dados!$J$3-'Caixa Individual'!$C34,"OK")</f>
        <v>412.57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customFormat="false" ht="14.25" hidden="false" customHeight="true" outlineLevel="0" collapsed="false">
      <c r="A35" s="2"/>
      <c r="B35" s="12" t="str">
        <f aca="false">IF(Dados!A32="","",Dados!A32)</f>
        <v>Natalia Massari</v>
      </c>
      <c r="C35" s="11" t="n">
        <f aca="false">SUMIF(Dados!$A$3:$A$36,Dados!A32,Dados!$H$3:$H$36) + SUMIF('Pagamento Individual'!$A$3:$A$26,Dados!A32,'Pagamento Individual'!$I$3:$I$26)</f>
        <v>124.33</v>
      </c>
      <c r="D35" s="11" t="n">
        <f aca="false">IF('Caixa Individual'!$C35&lt;Dados!$J$3,Dados!$J$3-'Caixa Individual'!$C35,"OK")</f>
        <v>447.67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customFormat="false" ht="14.25" hidden="false" customHeight="true" outlineLevel="0" collapsed="false">
      <c r="A36" s="2"/>
      <c r="B36" s="12" t="str">
        <f aca="false">IF(Dados!A33="","",Dados!A33)</f>
        <v>Nestor Junior</v>
      </c>
      <c r="C36" s="11" t="n">
        <f aca="false">SUMIF(Dados!$A$3:$A$36,Dados!A33,Dados!$H$3:$H$36) + SUMIF('Pagamento Individual'!$A$3:$A$26,Dados!A33,'Pagamento Individual'!$I$3:$I$26)</f>
        <v>139.68</v>
      </c>
      <c r="D36" s="11" t="n">
        <f aca="false">IF('Caixa Individual'!$C36&lt;Dados!$J$3,Dados!$J$3-'Caixa Individual'!$C36,"OK")</f>
        <v>432.32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customFormat="false" ht="14.25" hidden="false" customHeight="true" outlineLevel="0" collapsed="false">
      <c r="A37" s="2"/>
      <c r="B37" s="12" t="str">
        <f aca="false">IF(Dados!A34="","",Dados!A34)</f>
        <v>Rhafaela  Oliveira</v>
      </c>
      <c r="C37" s="11" t="n">
        <f aca="false">SUMIF(Dados!$A$3:$A$36,Dados!A34,Dados!$H$3:$H$36) + SUMIF('Pagamento Individual'!$A$3:$A$26,Dados!A34,'Pagamento Individual'!$I$3:$I$26)</f>
        <v>151.68</v>
      </c>
      <c r="D37" s="11" t="n">
        <f aca="false">IF('Caixa Individual'!$C37&lt;Dados!$J$3,Dados!$J$3-'Caixa Individual'!$C37,"OK")</f>
        <v>420.32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customFormat="false" ht="14.25" hidden="false" customHeight="true" outlineLevel="0" collapsed="false">
      <c r="A38" s="2"/>
      <c r="B38" s="12" t="str">
        <f aca="false">IF(Dados!A35="","",Dados!A35)</f>
        <v>Yaron Büchler</v>
      </c>
      <c r="C38" s="11" t="n">
        <f aca="false">SUMIF(Dados!$A$3:$A$36,Dados!A35,Dados!$H$3:$H$36) + SUMIF('Pagamento Individual'!$A$3:$A$26,Dados!A35,'Pagamento Individual'!$I$3:$I$26)</f>
        <v>159.43</v>
      </c>
      <c r="D38" s="11" t="n">
        <f aca="false">IF('Caixa Individual'!$C38&lt;Dados!$J$3,Dados!$J$3-'Caixa Individual'!$C38,"OK")</f>
        <v>412.57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customFormat="false" ht="14.25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customFormat="false" ht="14.25" hidden="false" customHeight="tru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customFormat="false" ht="14.25" hidden="false" customHeight="tru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customFormat="false" ht="14.25" hidden="false" customHeight="tru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customFormat="false" ht="14.25" hidden="false" customHeight="tru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1">
    <mergeCell ref="B4:E4"/>
  </mergeCells>
  <conditionalFormatting sqref="D6:D38">
    <cfRule type="cellIs" priority="2" operator="equal" aboveAverage="0" equalAverage="0" bottom="0" percent="0" rank="0" text="" dxfId="0">
      <formula>"OK"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2890625" defaultRowHeight="15" zeroHeight="false" outlineLevelRow="0" outlineLevelCol="0"/>
  <cols>
    <col collapsed="false" customWidth="true" hidden="false" outlineLevel="0" max="1" min="1" style="0" width="34.38"/>
    <col collapsed="false" customWidth="true" hidden="false" outlineLevel="0" max="2" min="2" style="0" width="6.75"/>
    <col collapsed="false" customWidth="true" hidden="false" outlineLevel="0" max="3" min="3" style="0" width="8.63"/>
    <col collapsed="false" customWidth="true" hidden="false" outlineLevel="0" max="6" min="4" style="0" width="14"/>
    <col collapsed="false" customWidth="true" hidden="false" outlineLevel="0" max="7" min="7" style="0" width="15.5"/>
    <col collapsed="false" customWidth="true" hidden="false" outlineLevel="0" max="8" min="8" style="0" width="10.63"/>
    <col collapsed="false" customWidth="true" hidden="false" outlineLevel="0" max="10" min="9" style="0" width="14.13"/>
    <col collapsed="false" customWidth="true" hidden="false" outlineLevel="0" max="11" min="11" style="0" width="16"/>
    <col collapsed="false" customWidth="true" hidden="false" outlineLevel="0" max="13" min="12" style="0" width="10.38"/>
    <col collapsed="false" customWidth="true" hidden="false" outlineLevel="0" max="14" min="14" style="0" width="9.38"/>
    <col collapsed="false" customWidth="true" hidden="false" outlineLevel="0" max="26" min="15" style="0" width="8.63"/>
  </cols>
  <sheetData>
    <row r="2" customFormat="false" ht="15" hidden="false" customHeight="false" outlineLevel="0" collapsed="false">
      <c r="A2" s="15" t="s">
        <v>1</v>
      </c>
      <c r="B2" s="15" t="s">
        <v>7</v>
      </c>
      <c r="C2" s="15" t="s">
        <v>8</v>
      </c>
      <c r="D2" s="16" t="s">
        <v>9</v>
      </c>
      <c r="E2" s="16" t="s">
        <v>10</v>
      </c>
      <c r="F2" s="16" t="s">
        <v>11</v>
      </c>
      <c r="G2" s="16" t="s">
        <v>12</v>
      </c>
      <c r="H2" s="15" t="s">
        <v>13</v>
      </c>
      <c r="J2" s="15" t="s">
        <v>14</v>
      </c>
      <c r="M2" s="17"/>
    </row>
    <row r="3" customFormat="false" ht="15" hidden="false" customHeight="false" outlineLevel="0" collapsed="false">
      <c r="A3" s="15" t="s">
        <v>15</v>
      </c>
      <c r="B3" s="18" t="s">
        <v>16</v>
      </c>
      <c r="C3" s="19" t="s">
        <v>17</v>
      </c>
      <c r="D3" s="17" t="n">
        <v>100</v>
      </c>
      <c r="E3" s="17" t="n">
        <v>50</v>
      </c>
      <c r="F3" s="17"/>
      <c r="G3" s="17"/>
      <c r="H3" s="17" t="n">
        <f aca="false">SUM(Dados!$C3:$G3)</f>
        <v>150</v>
      </c>
      <c r="I3" s="17"/>
      <c r="J3" s="17" t="n">
        <v>572</v>
      </c>
      <c r="K3" s="17"/>
    </row>
    <row r="4" customFormat="false" ht="15" hidden="false" customHeight="false" outlineLevel="0" collapsed="false">
      <c r="A4" s="15" t="s">
        <v>18</v>
      </c>
      <c r="B4" s="18" t="s">
        <v>19</v>
      </c>
      <c r="C4" s="19" t="s">
        <v>17</v>
      </c>
      <c r="D4" s="17" t="n">
        <v>100</v>
      </c>
      <c r="E4" s="17" t="n">
        <v>38.25</v>
      </c>
      <c r="F4" s="17"/>
      <c r="G4" s="17"/>
      <c r="H4" s="17" t="n">
        <f aca="false">SUM(Dados!$C4:$G4)</f>
        <v>138.25</v>
      </c>
      <c r="I4" s="17"/>
    </row>
    <row r="5" customFormat="false" ht="15" hidden="false" customHeight="false" outlineLevel="0" collapsed="false">
      <c r="A5" s="15" t="s">
        <v>20</v>
      </c>
      <c r="B5" s="18" t="s">
        <v>21</v>
      </c>
      <c r="C5" s="19" t="s">
        <v>17</v>
      </c>
      <c r="D5" s="17" t="n">
        <v>150</v>
      </c>
      <c r="E5" s="17" t="n">
        <v>100</v>
      </c>
      <c r="F5" s="17" t="n">
        <v>50</v>
      </c>
      <c r="G5" s="17"/>
      <c r="H5" s="17" t="n">
        <f aca="false">SUM(Dados!$C5:$G5)</f>
        <v>300</v>
      </c>
      <c r="I5" s="17"/>
    </row>
    <row r="6" customFormat="false" ht="15" hidden="false" customHeight="false" outlineLevel="0" collapsed="false">
      <c r="A6" s="15" t="s">
        <v>22</v>
      </c>
      <c r="B6" s="18" t="s">
        <v>23</v>
      </c>
      <c r="C6" s="19" t="s">
        <v>24</v>
      </c>
      <c r="D6" s="17" t="n">
        <v>150</v>
      </c>
      <c r="E6" s="17" t="n">
        <v>50</v>
      </c>
      <c r="F6" s="17"/>
      <c r="G6" s="17"/>
      <c r="H6" s="17" t="n">
        <f aca="false">SUM(Dados!$C6:$G6)</f>
        <v>200</v>
      </c>
      <c r="I6" s="17"/>
    </row>
    <row r="7" customFormat="false" ht="15" hidden="false" customHeight="false" outlineLevel="0" collapsed="false">
      <c r="A7" s="15" t="s">
        <v>25</v>
      </c>
      <c r="B7" s="18" t="s">
        <v>26</v>
      </c>
      <c r="C7" s="19" t="s">
        <v>17</v>
      </c>
      <c r="D7" s="17" t="n">
        <v>50</v>
      </c>
      <c r="E7" s="17" t="n">
        <f aca="false">50+50+9.43</f>
        <v>109.43</v>
      </c>
      <c r="F7" s="17"/>
      <c r="G7" s="17"/>
      <c r="H7" s="17" t="n">
        <f aca="false">SUM(Dados!$C7:$G7)</f>
        <v>159.43</v>
      </c>
      <c r="I7" s="17"/>
    </row>
    <row r="8" customFormat="false" ht="15" hidden="false" customHeight="false" outlineLevel="0" collapsed="false">
      <c r="A8" s="15" t="s">
        <v>27</v>
      </c>
      <c r="B8" s="18" t="s">
        <v>28</v>
      </c>
      <c r="C8" s="19" t="s">
        <v>17</v>
      </c>
      <c r="D8" s="17" t="n">
        <v>100</v>
      </c>
      <c r="E8" s="17" t="n">
        <f aca="false">50+9.43</f>
        <v>59.43</v>
      </c>
      <c r="F8" s="17"/>
      <c r="G8" s="17"/>
      <c r="H8" s="17" t="n">
        <f aca="false">SUM(Dados!$C8:$G8)</f>
        <v>159.43</v>
      </c>
      <c r="I8" s="17"/>
    </row>
    <row r="9" customFormat="false" ht="15" hidden="false" customHeight="false" outlineLevel="0" collapsed="false">
      <c r="A9" s="15" t="s">
        <v>29</v>
      </c>
      <c r="B9" s="18" t="s">
        <v>30</v>
      </c>
      <c r="C9" s="19" t="s">
        <v>24</v>
      </c>
      <c r="D9" s="17" t="n">
        <v>150</v>
      </c>
      <c r="E9" s="17" t="n">
        <f aca="false">9.43</f>
        <v>9.43</v>
      </c>
      <c r="F9" s="17"/>
      <c r="G9" s="17"/>
      <c r="H9" s="17" t="n">
        <f aca="false">SUM(Dados!$C9:$G9)</f>
        <v>159.43</v>
      </c>
      <c r="I9" s="17"/>
    </row>
    <row r="10" customFormat="false" ht="15" hidden="false" customHeight="false" outlineLevel="0" collapsed="false">
      <c r="A10" s="15" t="s">
        <v>31</v>
      </c>
      <c r="B10" s="18" t="s">
        <v>32</v>
      </c>
      <c r="C10" s="19" t="s">
        <v>17</v>
      </c>
      <c r="D10" s="17" t="n">
        <v>100</v>
      </c>
      <c r="E10" s="17" t="n">
        <f aca="false">9.43+50</f>
        <v>59.43</v>
      </c>
      <c r="F10" s="17"/>
      <c r="G10" s="17"/>
      <c r="H10" s="17" t="n">
        <f aca="false">SUM(Dados!$C10:$G10)</f>
        <v>159.43</v>
      </c>
      <c r="I10" s="17"/>
    </row>
    <row r="11" customFormat="false" ht="15" hidden="false" customHeight="false" outlineLevel="0" collapsed="false">
      <c r="A11" s="15" t="s">
        <v>33</v>
      </c>
      <c r="B11" s="18" t="s">
        <v>34</v>
      </c>
      <c r="C11" s="19" t="s">
        <v>24</v>
      </c>
      <c r="D11" s="17" t="n">
        <v>150</v>
      </c>
      <c r="E11" s="17" t="n">
        <f aca="false">9.43+39</f>
        <v>48.43</v>
      </c>
      <c r="F11" s="17"/>
      <c r="G11" s="17"/>
      <c r="H11" s="17" t="n">
        <f aca="false">SUM(Dados!$C11:$G11)</f>
        <v>198.43</v>
      </c>
      <c r="I11" s="17"/>
    </row>
    <row r="12" customFormat="false" ht="15" hidden="false" customHeight="false" outlineLevel="0" collapsed="false">
      <c r="A12" s="15" t="s">
        <v>35</v>
      </c>
      <c r="B12" s="18" t="s">
        <v>36</v>
      </c>
      <c r="C12" s="19" t="s">
        <v>24</v>
      </c>
      <c r="D12" s="17" t="n">
        <v>150</v>
      </c>
      <c r="E12" s="17" t="n">
        <v>50</v>
      </c>
      <c r="F12" s="17"/>
      <c r="G12" s="17"/>
      <c r="H12" s="17" t="n">
        <f aca="false">SUM(Dados!$C12:$G12)</f>
        <v>200</v>
      </c>
      <c r="I12" s="17"/>
    </row>
    <row r="13" customFormat="false" ht="15" hidden="false" customHeight="false" outlineLevel="0" collapsed="false">
      <c r="A13" s="15" t="s">
        <v>37</v>
      </c>
      <c r="B13" s="18" t="s">
        <v>38</v>
      </c>
      <c r="C13" s="19" t="s">
        <v>17</v>
      </c>
      <c r="D13" s="17" t="n">
        <v>100</v>
      </c>
      <c r="E13" s="17" t="n">
        <v>50</v>
      </c>
      <c r="F13" s="17"/>
      <c r="G13" s="17"/>
      <c r="H13" s="17" t="n">
        <f aca="false">SUM(Dados!$C13:$G13)</f>
        <v>150</v>
      </c>
      <c r="I13" s="17"/>
    </row>
    <row r="14" customFormat="false" ht="15" hidden="false" customHeight="false" outlineLevel="0" collapsed="false">
      <c r="A14" s="15" t="s">
        <v>39</v>
      </c>
      <c r="B14" s="18" t="s">
        <v>40</v>
      </c>
      <c r="C14" s="19" t="s">
        <v>17</v>
      </c>
      <c r="D14" s="17" t="n">
        <v>100</v>
      </c>
      <c r="E14" s="17" t="n">
        <f aca="false">9.43+50</f>
        <v>59.43</v>
      </c>
      <c r="F14" s="17"/>
      <c r="G14" s="17"/>
      <c r="H14" s="17" t="n">
        <f aca="false">SUM(Dados!$C14:$G14)</f>
        <v>159.43</v>
      </c>
      <c r="I14" s="17"/>
    </row>
    <row r="15" customFormat="false" ht="15" hidden="false" customHeight="false" outlineLevel="0" collapsed="false">
      <c r="A15" s="15" t="s">
        <v>41</v>
      </c>
      <c r="B15" s="18" t="s">
        <v>42</v>
      </c>
      <c r="C15" s="19" t="s">
        <v>17</v>
      </c>
      <c r="D15" s="17" t="n">
        <v>100</v>
      </c>
      <c r="E15" s="17" t="n">
        <f aca="false">9.43+40+10</f>
        <v>59.43</v>
      </c>
      <c r="F15" s="17"/>
      <c r="G15" s="17"/>
      <c r="H15" s="17" t="n">
        <f aca="false">SUM(Dados!$C15:$G15)</f>
        <v>159.43</v>
      </c>
      <c r="I15" s="17"/>
    </row>
    <row r="16" customFormat="false" ht="15" hidden="false" customHeight="false" outlineLevel="0" collapsed="false">
      <c r="A16" s="15" t="s">
        <v>43</v>
      </c>
      <c r="B16" s="18" t="s">
        <v>44</v>
      </c>
      <c r="C16" s="19" t="s">
        <v>24</v>
      </c>
      <c r="D16" s="17" t="n">
        <v>150</v>
      </c>
      <c r="E16" s="17" t="n">
        <v>114.9</v>
      </c>
      <c r="F16" s="17" t="n">
        <v>50</v>
      </c>
      <c r="G16" s="17" t="n">
        <v>96.9444444444444</v>
      </c>
      <c r="H16" s="17" t="n">
        <f aca="false">SUM(Dados!$C16:$G16)</f>
        <v>411.8444444</v>
      </c>
      <c r="I16" s="17"/>
    </row>
    <row r="17" customFormat="false" ht="15" hidden="false" customHeight="false" outlineLevel="0" collapsed="false">
      <c r="A17" s="15" t="s">
        <v>45</v>
      </c>
      <c r="B17" s="18" t="s">
        <v>46</v>
      </c>
      <c r="C17" s="19" t="s">
        <v>17</v>
      </c>
      <c r="D17" s="17" t="n">
        <v>100</v>
      </c>
      <c r="E17" s="17" t="n">
        <v>50</v>
      </c>
      <c r="F17" s="17"/>
      <c r="G17" s="17"/>
      <c r="H17" s="17" t="n">
        <f aca="false">SUM(Dados!$C17:$G17)</f>
        <v>150</v>
      </c>
      <c r="I17" s="17"/>
    </row>
    <row r="18" customFormat="false" ht="15" hidden="false" customHeight="false" outlineLevel="0" collapsed="false">
      <c r="A18" s="15" t="s">
        <v>47</v>
      </c>
      <c r="B18" s="18" t="s">
        <v>48</v>
      </c>
      <c r="C18" s="19" t="s">
        <v>17</v>
      </c>
      <c r="D18" s="17" t="n">
        <v>100</v>
      </c>
      <c r="E18" s="17" t="n">
        <f aca="false">9.43+38.25</f>
        <v>47.68</v>
      </c>
      <c r="F18" s="17"/>
      <c r="G18" s="17"/>
      <c r="H18" s="17" t="n">
        <f aca="false">SUM(Dados!$C18:$G18)</f>
        <v>147.68</v>
      </c>
      <c r="I18" s="17"/>
    </row>
    <row r="19" customFormat="false" ht="15" hidden="false" customHeight="false" outlineLevel="0" collapsed="false">
      <c r="A19" s="15" t="s">
        <v>49</v>
      </c>
      <c r="B19" s="18" t="s">
        <v>50</v>
      </c>
      <c r="C19" s="19" t="s">
        <v>17</v>
      </c>
      <c r="D19" s="17" t="n">
        <v>100</v>
      </c>
      <c r="E19" s="17" t="n">
        <f aca="false">9.43+50</f>
        <v>59.43</v>
      </c>
      <c r="F19" s="17"/>
      <c r="G19" s="17"/>
      <c r="H19" s="17" t="n">
        <f aca="false">SUM(Dados!$C19:$G19)</f>
        <v>159.43</v>
      </c>
      <c r="I19" s="17"/>
    </row>
    <row r="20" customFormat="false" ht="15" hidden="false" customHeight="false" outlineLevel="0" collapsed="false">
      <c r="A20" s="15" t="s">
        <v>51</v>
      </c>
      <c r="B20" s="18" t="s">
        <v>52</v>
      </c>
      <c r="C20" s="19" t="s">
        <v>17</v>
      </c>
      <c r="D20" s="17" t="n">
        <v>100</v>
      </c>
      <c r="E20" s="17" t="n">
        <f aca="false">9.43+38.25</f>
        <v>47.68</v>
      </c>
      <c r="F20" s="17"/>
      <c r="G20" s="17"/>
      <c r="H20" s="17" t="n">
        <f aca="false">SUM(Dados!$C20:$G20)</f>
        <v>147.68</v>
      </c>
      <c r="I20" s="17"/>
    </row>
    <row r="21" customFormat="false" ht="15.75" hidden="false" customHeight="true" outlineLevel="0" collapsed="false">
      <c r="A21" s="15" t="s">
        <v>53</v>
      </c>
      <c r="B21" s="18" t="s">
        <v>54</v>
      </c>
      <c r="C21" s="19" t="s">
        <v>24</v>
      </c>
      <c r="D21" s="17" t="s">
        <v>55</v>
      </c>
      <c r="E21" s="17" t="n">
        <f aca="false">9.43</f>
        <v>9.43</v>
      </c>
      <c r="F21" s="17" t="n">
        <v>28</v>
      </c>
      <c r="G21" s="17"/>
      <c r="H21" s="17" t="n">
        <f aca="false">SUM(Dados!$C21:$G21)</f>
        <v>37.43</v>
      </c>
      <c r="I21" s="17"/>
    </row>
    <row r="22" customFormat="false" ht="15.75" hidden="false" customHeight="true" outlineLevel="0" collapsed="false">
      <c r="A22" s="15" t="s">
        <v>56</v>
      </c>
      <c r="B22" s="18" t="s">
        <v>57</v>
      </c>
      <c r="C22" s="19" t="s">
        <v>24</v>
      </c>
      <c r="D22" s="17" t="n">
        <v>114.9</v>
      </c>
      <c r="E22" s="17"/>
      <c r="F22" s="17"/>
      <c r="G22" s="17"/>
      <c r="H22" s="17" t="n">
        <f aca="false">SUM(Dados!$C22:$G22)</f>
        <v>114.9</v>
      </c>
    </row>
    <row r="23" customFormat="false" ht="15.75" hidden="false" customHeight="true" outlineLevel="0" collapsed="false">
      <c r="A23" s="15" t="s">
        <v>58</v>
      </c>
      <c r="B23" s="18" t="s">
        <v>59</v>
      </c>
      <c r="C23" s="19" t="s">
        <v>24</v>
      </c>
      <c r="D23" s="17" t="n">
        <v>150</v>
      </c>
      <c r="E23" s="17" t="n">
        <v>50</v>
      </c>
      <c r="F23" s="17"/>
      <c r="G23" s="17"/>
      <c r="H23" s="17" t="n">
        <f aca="false">SUM(Dados!$C23:$G23)</f>
        <v>200</v>
      </c>
    </row>
    <row r="24" customFormat="false" ht="15.75" hidden="false" customHeight="true" outlineLevel="0" collapsed="false">
      <c r="A24" s="15" t="s">
        <v>60</v>
      </c>
      <c r="B24" s="18" t="s">
        <v>61</v>
      </c>
      <c r="C24" s="19" t="s">
        <v>24</v>
      </c>
      <c r="D24" s="17" t="n">
        <v>150</v>
      </c>
      <c r="E24" s="17" t="n">
        <v>50</v>
      </c>
      <c r="F24" s="17"/>
      <c r="G24" s="17"/>
      <c r="H24" s="17" t="n">
        <f aca="false">SUM(Dados!$C24:$G24)</f>
        <v>200</v>
      </c>
    </row>
    <row r="25" customFormat="false" ht="15.75" hidden="false" customHeight="true" outlineLevel="0" collapsed="false">
      <c r="A25" s="15" t="s">
        <v>62</v>
      </c>
      <c r="B25" s="18" t="s">
        <v>63</v>
      </c>
      <c r="C25" s="19" t="s">
        <v>24</v>
      </c>
      <c r="D25" s="17" t="s">
        <v>55</v>
      </c>
      <c r="E25" s="17" t="n">
        <f aca="false">9.43</f>
        <v>9.43</v>
      </c>
      <c r="F25" s="17"/>
      <c r="G25" s="17"/>
      <c r="H25" s="17" t="n">
        <f aca="false">SUM(Dados!$C25:$G25)</f>
        <v>9.43</v>
      </c>
    </row>
    <row r="26" customFormat="false" ht="15.75" hidden="false" customHeight="true" outlineLevel="0" collapsed="false">
      <c r="A26" s="15" t="s">
        <v>64</v>
      </c>
      <c r="B26" s="18" t="s">
        <v>65</v>
      </c>
      <c r="C26" s="19" t="s">
        <v>24</v>
      </c>
      <c r="D26" s="17" t="n">
        <v>150</v>
      </c>
      <c r="E26" s="17" t="n">
        <f aca="false">9.43+50</f>
        <v>59.43</v>
      </c>
      <c r="F26" s="17"/>
      <c r="G26" s="17"/>
      <c r="H26" s="17" t="n">
        <f aca="false">SUM(Dados!$C26:$G26)</f>
        <v>209.43</v>
      </c>
    </row>
    <row r="27" customFormat="false" ht="15.75" hidden="false" customHeight="true" outlineLevel="0" collapsed="false">
      <c r="A27" s="15" t="s">
        <v>66</v>
      </c>
      <c r="B27" s="18" t="s">
        <v>67</v>
      </c>
      <c r="C27" s="19" t="s">
        <v>24</v>
      </c>
      <c r="D27" s="17"/>
      <c r="E27" s="17"/>
      <c r="F27" s="17"/>
      <c r="G27" s="17"/>
      <c r="H27" s="17" t="n">
        <f aca="false">SUM(Dados!$C27:$G27)</f>
        <v>0</v>
      </c>
    </row>
    <row r="28" customFormat="false" ht="15.75" hidden="false" customHeight="true" outlineLevel="0" collapsed="false">
      <c r="A28" s="15" t="s">
        <v>68</v>
      </c>
      <c r="B28" s="18" t="s">
        <v>69</v>
      </c>
      <c r="C28" s="19" t="s">
        <v>24</v>
      </c>
      <c r="D28" s="17" t="n">
        <v>150</v>
      </c>
      <c r="E28" s="17" t="n">
        <v>50</v>
      </c>
      <c r="F28" s="17"/>
      <c r="G28" s="17"/>
      <c r="H28" s="17" t="n">
        <f aca="false">SUM(Dados!$C28:$G28)</f>
        <v>200</v>
      </c>
    </row>
    <row r="29" customFormat="false" ht="15.75" hidden="false" customHeight="true" outlineLevel="0" collapsed="false">
      <c r="A29" s="15" t="s">
        <v>70</v>
      </c>
      <c r="B29" s="18" t="s">
        <v>71</v>
      </c>
      <c r="C29" s="19" t="s">
        <v>17</v>
      </c>
      <c r="D29" s="17" t="n">
        <v>150</v>
      </c>
      <c r="E29" s="17" t="n">
        <v>100</v>
      </c>
      <c r="F29" s="17" t="n">
        <v>50</v>
      </c>
      <c r="G29" s="17"/>
      <c r="H29" s="17" t="n">
        <f aca="false">SUM(Dados!$C29:$G29)</f>
        <v>300</v>
      </c>
      <c r="Q29" s="17"/>
    </row>
    <row r="30" customFormat="false" ht="15.75" hidden="false" customHeight="true" outlineLevel="0" collapsed="false">
      <c r="A30" s="15" t="s">
        <v>72</v>
      </c>
      <c r="B30" s="18" t="s">
        <v>73</v>
      </c>
      <c r="C30" s="19" t="s">
        <v>17</v>
      </c>
      <c r="D30" s="17" t="n">
        <v>100</v>
      </c>
      <c r="E30" s="17" t="n">
        <f aca="false">9.43+50</f>
        <v>59.43</v>
      </c>
      <c r="F30" s="17"/>
      <c r="G30" s="17"/>
      <c r="H30" s="17" t="n">
        <f aca="false">SUM(Dados!$C30:$G30)</f>
        <v>159.43</v>
      </c>
    </row>
    <row r="31" customFormat="false" ht="15.75" hidden="false" customHeight="true" outlineLevel="0" collapsed="false">
      <c r="A31" s="15" t="s">
        <v>74</v>
      </c>
      <c r="B31" s="18" t="s">
        <v>75</v>
      </c>
      <c r="C31" s="19" t="s">
        <v>17</v>
      </c>
      <c r="D31" s="17" t="n">
        <v>100</v>
      </c>
      <c r="E31" s="17" t="n">
        <f aca="false">9.43+50</f>
        <v>59.43</v>
      </c>
      <c r="F31" s="17"/>
      <c r="G31" s="17"/>
      <c r="H31" s="17" t="n">
        <f aca="false">SUM(Dados!$C31:$G31)</f>
        <v>159.43</v>
      </c>
    </row>
    <row r="32" customFormat="false" ht="15.75" hidden="false" customHeight="true" outlineLevel="0" collapsed="false">
      <c r="A32" s="15" t="s">
        <v>76</v>
      </c>
      <c r="B32" s="18" t="s">
        <v>77</v>
      </c>
      <c r="C32" s="19" t="s">
        <v>24</v>
      </c>
      <c r="D32" s="17" t="n">
        <v>114.9</v>
      </c>
      <c r="E32" s="17" t="n">
        <f aca="false">9.43</f>
        <v>9.43</v>
      </c>
      <c r="F32" s="17"/>
      <c r="G32" s="17"/>
      <c r="H32" s="17" t="n">
        <f aca="false">SUM(Dados!$C32:$G32)</f>
        <v>124.33</v>
      </c>
    </row>
    <row r="33" customFormat="false" ht="15.75" hidden="false" customHeight="true" outlineLevel="0" collapsed="false">
      <c r="A33" s="15" t="s">
        <v>78</v>
      </c>
      <c r="B33" s="18" t="s">
        <v>79</v>
      </c>
      <c r="C33" s="19" t="s">
        <v>24</v>
      </c>
      <c r="D33" s="17" t="n">
        <f aca="false">92</f>
        <v>92</v>
      </c>
      <c r="E33" s="17" t="n">
        <f aca="false">9.43+38.25</f>
        <v>47.68</v>
      </c>
      <c r="F33" s="17"/>
      <c r="G33" s="17"/>
      <c r="H33" s="17" t="n">
        <f aca="false">SUM(Dados!$C33:$G33)</f>
        <v>139.68</v>
      </c>
    </row>
    <row r="34" customFormat="false" ht="15.75" hidden="false" customHeight="true" outlineLevel="0" collapsed="false">
      <c r="A34" s="15" t="s">
        <v>80</v>
      </c>
      <c r="B34" s="18" t="s">
        <v>81</v>
      </c>
      <c r="C34" s="19" t="s">
        <v>17</v>
      </c>
      <c r="D34" s="17" t="n">
        <f aca="false">6+2+24+4+10+58</f>
        <v>104</v>
      </c>
      <c r="E34" s="17" t="n">
        <f aca="false">9.43</f>
        <v>9.43</v>
      </c>
      <c r="F34" s="17" t="n">
        <v>38.25</v>
      </c>
      <c r="G34" s="17"/>
      <c r="H34" s="17" t="n">
        <f aca="false">SUM(Dados!$C34:$G34)</f>
        <v>151.68</v>
      </c>
    </row>
    <row r="35" customFormat="false" ht="15.75" hidden="false" customHeight="true" outlineLevel="0" collapsed="false">
      <c r="A35" s="15" t="s">
        <v>82</v>
      </c>
      <c r="B35" s="18" t="s">
        <v>83</v>
      </c>
      <c r="C35" s="19" t="s">
        <v>17</v>
      </c>
      <c r="D35" s="17" t="n">
        <v>100</v>
      </c>
      <c r="E35" s="17" t="n">
        <f aca="false">9.43+50</f>
        <v>59.43</v>
      </c>
      <c r="F35" s="17"/>
      <c r="G35" s="17"/>
      <c r="H35" s="17" t="n">
        <f aca="false">SUM(Dados!$C35:$G35)</f>
        <v>159.43</v>
      </c>
    </row>
    <row r="36" customFormat="false" ht="15.75" hidden="false" customHeight="true" outlineLevel="0" collapsed="false">
      <c r="C36" s="15"/>
      <c r="H36" s="15" t="n">
        <f aca="false">SUM(Dados!$C36:$G36)</f>
        <v>0</v>
      </c>
    </row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1">
    <dataValidation allowBlank="true" errorStyle="stop" operator="between" showDropDown="false" showErrorMessage="true" showInputMessage="false" sqref="C3:C36" type="list">
      <formula1>"Immortals,Phoenix,Extra"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N25" activeCellId="0" sqref="N25"/>
    </sheetView>
  </sheetViews>
  <sheetFormatPr defaultColWidth="12.62890625" defaultRowHeight="15" zeroHeight="false" outlineLevelRow="0" outlineLevelCol="0"/>
  <cols>
    <col collapsed="false" customWidth="true" hidden="false" outlineLevel="0" max="1" min="1" style="0" width="17.38"/>
    <col collapsed="false" customWidth="true" hidden="false" outlineLevel="0" max="3" min="2" style="0" width="6.88"/>
    <col collapsed="false" customWidth="true" hidden="false" outlineLevel="0" max="4" min="4" style="0" width="25.88"/>
    <col collapsed="false" customWidth="true" hidden="false" outlineLevel="0" max="7" min="5" style="0" width="17"/>
    <col collapsed="false" customWidth="true" hidden="false" outlineLevel="0" max="8" min="8" style="0" width="15.63"/>
    <col collapsed="false" customWidth="true" hidden="false" outlineLevel="0" max="9" min="9" style="0" width="18.38"/>
    <col collapsed="false" customWidth="true" hidden="false" outlineLevel="0" max="10" min="10" style="0" width="10.13"/>
    <col collapsed="false" customWidth="true" hidden="false" outlineLevel="0" max="11" min="11" style="0" width="15.13"/>
    <col collapsed="false" customWidth="true" hidden="false" outlineLevel="0" max="12" min="12" style="0" width="10.63"/>
    <col collapsed="false" customWidth="true" hidden="false" outlineLevel="0" max="14" min="13" style="0" width="8.63"/>
    <col collapsed="false" customWidth="true" hidden="false" outlineLevel="0" max="15" min="15" style="0" width="31.75"/>
    <col collapsed="false" customWidth="true" hidden="false" outlineLevel="0" max="16" min="16" style="0" width="22.38"/>
    <col collapsed="false" customWidth="true" hidden="false" outlineLevel="0" max="18" min="18" style="0" width="10.13"/>
    <col collapsed="false" customWidth="true" hidden="false" outlineLevel="0" max="22" min="20" style="0" width="10.13"/>
    <col collapsed="false" customWidth="true" hidden="false" outlineLevel="0" max="26" min="23" style="0" width="8.63"/>
  </cols>
  <sheetData>
    <row r="2" customFormat="false" ht="15" hidden="false" customHeight="false" outlineLevel="0" collapsed="false">
      <c r="A2" s="20" t="s">
        <v>1</v>
      </c>
      <c r="B2" s="20" t="s">
        <v>7</v>
      </c>
      <c r="C2" s="20" t="s">
        <v>8</v>
      </c>
      <c r="D2" s="21" t="s">
        <v>84</v>
      </c>
      <c r="E2" s="22" t="s">
        <v>85</v>
      </c>
      <c r="F2" s="22" t="s">
        <v>86</v>
      </c>
      <c r="G2" s="22" t="s">
        <v>87</v>
      </c>
      <c r="H2" s="22" t="s">
        <v>88</v>
      </c>
      <c r="I2" s="21" t="s">
        <v>89</v>
      </c>
      <c r="J2" s="23" t="s">
        <v>90</v>
      </c>
      <c r="O2" s="15" t="s">
        <v>91</v>
      </c>
    </row>
    <row r="3" customFormat="false" ht="15" hidden="false" customHeight="false" outlineLevel="0" collapsed="false">
      <c r="A3" s="15" t="s">
        <v>15</v>
      </c>
      <c r="B3" s="18" t="s">
        <v>16</v>
      </c>
      <c r="C3" s="19" t="s">
        <v>17</v>
      </c>
      <c r="D3" s="24" t="s">
        <v>92</v>
      </c>
      <c r="E3" s="25"/>
      <c r="F3" s="25"/>
      <c r="G3" s="25"/>
      <c r="H3" s="25"/>
      <c r="I3" s="25" t="n">
        <f aca="false">SUM('Pagamento Individual'!$E3:$H3)</f>
        <v>0</v>
      </c>
      <c r="J3" s="26" t="n">
        <f aca="false">VLOOKUP('Pagamento Individual'!$A3,'Caixa Individual'!$B$6:$D$38,3,FALSE())</f>
        <v>422</v>
      </c>
      <c r="O3" s="15" t="s">
        <v>1</v>
      </c>
      <c r="P3" s="15" t="s">
        <v>84</v>
      </c>
      <c r="Q3" s="15" t="s">
        <v>93</v>
      </c>
      <c r="R3" s="15" t="s">
        <v>94</v>
      </c>
      <c r="S3" s="15" t="s">
        <v>95</v>
      </c>
      <c r="T3" s="15" t="s">
        <v>96</v>
      </c>
      <c r="U3" s="15" t="s">
        <v>89</v>
      </c>
      <c r="V3" s="15" t="s">
        <v>90</v>
      </c>
    </row>
    <row r="4" customFormat="false" ht="15" hidden="false" customHeight="false" outlineLevel="0" collapsed="false">
      <c r="A4" s="15" t="s">
        <v>18</v>
      </c>
      <c r="B4" s="18" t="s">
        <v>19</v>
      </c>
      <c r="C4" s="19" t="s">
        <v>17</v>
      </c>
      <c r="D4" s="24" t="s">
        <v>97</v>
      </c>
      <c r="E4" s="25"/>
      <c r="F4" s="25"/>
      <c r="G4" s="25"/>
      <c r="H4" s="25"/>
      <c r="I4" s="25" t="n">
        <f aca="false">SUM('Pagamento Individual'!$E4:$H4)</f>
        <v>0</v>
      </c>
      <c r="J4" s="26" t="n">
        <f aca="false">VLOOKUP('Pagamento Individual'!$A4,'Caixa Individual'!$B$6:$D$38,3,FALSE())</f>
        <v>433.75</v>
      </c>
      <c r="O4" s="15"/>
      <c r="P4" s="15" t="s">
        <v>92</v>
      </c>
      <c r="Q4" s="15" t="n">
        <v>0</v>
      </c>
      <c r="U4" s="15" t="n">
        <v>0</v>
      </c>
      <c r="V4" s="15" t="e">
        <f aca="false">#N/A</f>
        <v>#N/A</v>
      </c>
    </row>
    <row r="5" customFormat="false" ht="15" hidden="false" customHeight="false" outlineLevel="0" collapsed="false">
      <c r="A5" s="15" t="s">
        <v>20</v>
      </c>
      <c r="B5" s="18" t="s">
        <v>21</v>
      </c>
      <c r="C5" s="19" t="s">
        <v>17</v>
      </c>
      <c r="D5" s="24" t="s">
        <v>92</v>
      </c>
      <c r="E5" s="25"/>
      <c r="F5" s="25"/>
      <c r="G5" s="25"/>
      <c r="H5" s="25"/>
      <c r="I5" s="25" t="n">
        <f aca="false">SUM('Pagamento Individual'!$E5:$H5)</f>
        <v>0</v>
      </c>
      <c r="J5" s="26" t="n">
        <f aca="false">VLOOKUP('Pagamento Individual'!$A5,'Caixa Individual'!$B$6:$D$38,3,FALSE())</f>
        <v>272</v>
      </c>
      <c r="O5" s="15"/>
      <c r="P5" s="15" t="s">
        <v>92</v>
      </c>
      <c r="Q5" s="15" t="s">
        <v>98</v>
      </c>
      <c r="U5" s="15" t="n">
        <v>0</v>
      </c>
      <c r="V5" s="15" t="e">
        <f aca="false">#N/A</f>
        <v>#N/A</v>
      </c>
    </row>
    <row r="6" customFormat="false" ht="15" hidden="false" customHeight="false" outlineLevel="0" collapsed="false">
      <c r="A6" s="15" t="s">
        <v>25</v>
      </c>
      <c r="B6" s="18" t="s">
        <v>26</v>
      </c>
      <c r="C6" s="19" t="s">
        <v>17</v>
      </c>
      <c r="D6" s="24" t="s">
        <v>97</v>
      </c>
      <c r="E6" s="25" t="n">
        <v>90</v>
      </c>
      <c r="F6" s="25"/>
      <c r="G6" s="25"/>
      <c r="H6" s="25"/>
      <c r="I6" s="25" t="n">
        <f aca="false">SUM('Pagamento Individual'!$E6:$H6)</f>
        <v>90</v>
      </c>
      <c r="J6" s="26" t="n">
        <f aca="false">VLOOKUP('Pagamento Individual'!$A6,'Caixa Individual'!$B$6:$D$38,3,FALSE())</f>
        <v>322.57</v>
      </c>
      <c r="O6" s="15"/>
      <c r="P6" s="15" t="s">
        <v>92</v>
      </c>
      <c r="U6" s="15" t="n">
        <v>0</v>
      </c>
      <c r="V6" s="15" t="e">
        <f aca="false">#N/A</f>
        <v>#N/A</v>
      </c>
    </row>
    <row r="7" customFormat="false" ht="15" hidden="false" customHeight="false" outlineLevel="0" collapsed="false">
      <c r="A7" s="15" t="s">
        <v>27</v>
      </c>
      <c r="B7" s="18" t="s">
        <v>28</v>
      </c>
      <c r="C7" s="19" t="s">
        <v>17</v>
      </c>
      <c r="D7" s="24" t="s">
        <v>92</v>
      </c>
      <c r="E7" s="25" t="n">
        <v>412.57</v>
      </c>
      <c r="F7" s="25"/>
      <c r="G7" s="25"/>
      <c r="H7" s="25"/>
      <c r="I7" s="25" t="n">
        <f aca="false">SUM('Pagamento Individual'!$E7:$H7)</f>
        <v>412.57</v>
      </c>
      <c r="J7" s="26" t="str">
        <f aca="false">VLOOKUP('Pagamento Individual'!$A7,'Caixa Individual'!$B$6:$D$38,3,FALSE())</f>
        <v>OK</v>
      </c>
      <c r="O7" s="15"/>
      <c r="P7" s="15" t="s">
        <v>92</v>
      </c>
      <c r="Q7" s="15" t="n">
        <v>0</v>
      </c>
      <c r="U7" s="15" t="n">
        <v>0</v>
      </c>
      <c r="V7" s="15" t="e">
        <f aca="false">#N/A</f>
        <v>#N/A</v>
      </c>
    </row>
    <row r="8" customFormat="false" ht="15" hidden="false" customHeight="false" outlineLevel="0" collapsed="false">
      <c r="A8" s="15" t="s">
        <v>31</v>
      </c>
      <c r="B8" s="18" t="s">
        <v>32</v>
      </c>
      <c r="C8" s="19" t="s">
        <v>17</v>
      </c>
      <c r="D8" s="24" t="s">
        <v>97</v>
      </c>
      <c r="E8" s="25"/>
      <c r="F8" s="25"/>
      <c r="G8" s="25"/>
      <c r="H8" s="25"/>
      <c r="I8" s="25" t="n">
        <f aca="false">SUM('Pagamento Individual'!$E8:$H8)</f>
        <v>0</v>
      </c>
      <c r="J8" s="26" t="n">
        <f aca="false">VLOOKUP('Pagamento Individual'!$A8,'Caixa Individual'!$B$6:$D$38,3,FALSE())</f>
        <v>412.57</v>
      </c>
      <c r="O8" s="15"/>
      <c r="P8" s="15" t="s">
        <v>92</v>
      </c>
      <c r="Q8" s="15" t="n">
        <v>200</v>
      </c>
      <c r="U8" s="15" t="n">
        <v>200</v>
      </c>
      <c r="V8" s="15" t="e">
        <f aca="false">#N/A</f>
        <v>#N/A</v>
      </c>
    </row>
    <row r="9" customFormat="false" ht="15" hidden="false" customHeight="false" outlineLevel="0" collapsed="false">
      <c r="A9" s="15" t="s">
        <v>33</v>
      </c>
      <c r="B9" s="18" t="s">
        <v>34</v>
      </c>
      <c r="C9" s="19" t="s">
        <v>24</v>
      </c>
      <c r="D9" s="24" t="s">
        <v>92</v>
      </c>
      <c r="E9" s="25"/>
      <c r="F9" s="25"/>
      <c r="G9" s="25"/>
      <c r="H9" s="25"/>
      <c r="I9" s="25" t="n">
        <f aca="false">SUM('Pagamento Individual'!$E9:$H9)</f>
        <v>0</v>
      </c>
      <c r="J9" s="26" t="n">
        <f aca="false">VLOOKUP('Pagamento Individual'!$A9,'Caixa Individual'!$B$6:$D$38,3,FALSE())</f>
        <v>373.57</v>
      </c>
      <c r="O9" s="15"/>
      <c r="P9" s="15" t="s">
        <v>92</v>
      </c>
      <c r="Q9" s="15" t="n">
        <v>0</v>
      </c>
      <c r="U9" s="15" t="n">
        <v>0</v>
      </c>
      <c r="V9" s="15" t="e">
        <f aca="false">#N/A</f>
        <v>#N/A</v>
      </c>
    </row>
    <row r="10" customFormat="false" ht="15" hidden="false" customHeight="false" outlineLevel="0" collapsed="false">
      <c r="A10" s="15" t="s">
        <v>41</v>
      </c>
      <c r="B10" s="18" t="s">
        <v>42</v>
      </c>
      <c r="C10" s="19" t="s">
        <v>17</v>
      </c>
      <c r="D10" s="24" t="s">
        <v>97</v>
      </c>
      <c r="E10" s="25"/>
      <c r="F10" s="25"/>
      <c r="G10" s="25"/>
      <c r="H10" s="25"/>
      <c r="I10" s="25" t="n">
        <f aca="false">SUM('Pagamento Individual'!$E10:$H10)</f>
        <v>0</v>
      </c>
      <c r="J10" s="26" t="n">
        <f aca="false">VLOOKUP('Pagamento Individual'!$A10,'Caixa Individual'!$B$6:$D$38,3,FALSE())</f>
        <v>412.57</v>
      </c>
      <c r="O10" s="15"/>
      <c r="P10" s="15" t="s">
        <v>92</v>
      </c>
      <c r="Q10" s="15" t="n">
        <v>100</v>
      </c>
      <c r="U10" s="15" t="n">
        <v>100</v>
      </c>
      <c r="V10" s="15" t="e">
        <f aca="false">#N/A</f>
        <v>#N/A</v>
      </c>
    </row>
    <row r="11" customFormat="false" ht="15" hidden="false" customHeight="false" outlineLevel="0" collapsed="false">
      <c r="A11" s="15" t="s">
        <v>43</v>
      </c>
      <c r="B11" s="18" t="s">
        <v>44</v>
      </c>
      <c r="C11" s="19" t="s">
        <v>24</v>
      </c>
      <c r="D11" s="24" t="s">
        <v>97</v>
      </c>
      <c r="E11" s="25"/>
      <c r="F11" s="25"/>
      <c r="G11" s="25"/>
      <c r="H11" s="25"/>
      <c r="I11" s="25" t="n">
        <f aca="false">SUM('Pagamento Individual'!$E11:$H11)</f>
        <v>0</v>
      </c>
      <c r="J11" s="26" t="n">
        <f aca="false">VLOOKUP('Pagamento Individual'!$A11,'Caixa Individual'!$B$6:$D$38,3,FALSE())</f>
        <v>160.1555556</v>
      </c>
      <c r="O11" s="15"/>
      <c r="P11" s="15" t="s">
        <v>92</v>
      </c>
      <c r="Q11" s="15" t="s">
        <v>98</v>
      </c>
      <c r="U11" s="15" t="n">
        <v>0</v>
      </c>
      <c r="V11" s="15" t="e">
        <f aca="false">#N/A</f>
        <v>#N/A</v>
      </c>
    </row>
    <row r="12" customFormat="false" ht="15" hidden="false" customHeight="false" outlineLevel="0" collapsed="false">
      <c r="A12" s="15" t="s">
        <v>45</v>
      </c>
      <c r="B12" s="18" t="s">
        <v>46</v>
      </c>
      <c r="C12" s="19" t="s">
        <v>17</v>
      </c>
      <c r="D12" s="24" t="s">
        <v>97</v>
      </c>
      <c r="E12" s="25"/>
      <c r="F12" s="25"/>
      <c r="G12" s="25"/>
      <c r="H12" s="25"/>
      <c r="I12" s="25" t="n">
        <f aca="false">SUM('Pagamento Individual'!$E12:$H12)</f>
        <v>0</v>
      </c>
      <c r="J12" s="26" t="n">
        <f aca="false">VLOOKUP('Pagamento Individual'!$A12,'Caixa Individual'!$B$6:$D$38,3,FALSE())</f>
        <v>422</v>
      </c>
      <c r="O12" s="15"/>
      <c r="P12" s="15" t="s">
        <v>92</v>
      </c>
      <c r="Q12" s="15" t="n">
        <v>0</v>
      </c>
      <c r="U12" s="15" t="n">
        <v>0</v>
      </c>
      <c r="V12" s="15" t="n">
        <v>447.67</v>
      </c>
    </row>
    <row r="13" customFormat="false" ht="15" hidden="false" customHeight="false" outlineLevel="0" collapsed="false">
      <c r="A13" s="15" t="s">
        <v>49</v>
      </c>
      <c r="B13" s="18" t="s">
        <v>50</v>
      </c>
      <c r="C13" s="19" t="s">
        <v>17</v>
      </c>
      <c r="D13" s="24" t="s">
        <v>97</v>
      </c>
      <c r="E13" s="25"/>
      <c r="F13" s="25"/>
      <c r="G13" s="25"/>
      <c r="H13" s="25"/>
      <c r="I13" s="25" t="n">
        <f aca="false">SUM('Pagamento Individual'!$E13:$H13)</f>
        <v>0</v>
      </c>
      <c r="J13" s="26" t="n">
        <f aca="false">VLOOKUP('Pagamento Individual'!$A13,'Caixa Individual'!$B$6:$D$38,3,FALSE())</f>
        <v>412.57</v>
      </c>
      <c r="O13" s="15"/>
      <c r="P13" s="15" t="s">
        <v>97</v>
      </c>
      <c r="Q13" s="15" t="n">
        <v>0</v>
      </c>
      <c r="U13" s="15" t="n">
        <v>0</v>
      </c>
      <c r="V13" s="15" t="e">
        <f aca="false">#N/A</f>
        <v>#N/A</v>
      </c>
    </row>
    <row r="14" customFormat="false" ht="15" hidden="false" customHeight="false" outlineLevel="0" collapsed="false">
      <c r="A14" s="15" t="s">
        <v>51</v>
      </c>
      <c r="B14" s="18" t="s">
        <v>52</v>
      </c>
      <c r="C14" s="19" t="s">
        <v>17</v>
      </c>
      <c r="D14" s="24" t="s">
        <v>97</v>
      </c>
      <c r="E14" s="25"/>
      <c r="F14" s="25"/>
      <c r="G14" s="25"/>
      <c r="H14" s="25"/>
      <c r="I14" s="25" t="n">
        <f aca="false">SUM('Pagamento Individual'!$E14:$H14)</f>
        <v>0</v>
      </c>
      <c r="J14" s="26" t="n">
        <f aca="false">VLOOKUP('Pagamento Individual'!$A14,'Caixa Individual'!$B$6:$D$38,3,FALSE())</f>
        <v>424.32</v>
      </c>
      <c r="O14" s="15"/>
      <c r="P14" s="15" t="s">
        <v>97</v>
      </c>
      <c r="Q14" s="15" t="n">
        <v>90</v>
      </c>
      <c r="U14" s="15" t="n">
        <v>90</v>
      </c>
      <c r="V14" s="15" t="e">
        <f aca="false">#N/A</f>
        <v>#N/A</v>
      </c>
    </row>
    <row r="15" customFormat="false" ht="15" hidden="false" customHeight="false" outlineLevel="0" collapsed="false">
      <c r="A15" s="15" t="s">
        <v>53</v>
      </c>
      <c r="B15" s="18" t="s">
        <v>54</v>
      </c>
      <c r="C15" s="19" t="s">
        <v>24</v>
      </c>
      <c r="D15" s="24" t="s">
        <v>92</v>
      </c>
      <c r="E15" s="25"/>
      <c r="F15" s="25"/>
      <c r="G15" s="25"/>
      <c r="H15" s="25"/>
      <c r="I15" s="25" t="n">
        <f aca="false">SUM('Pagamento Individual'!$E15:$H15)</f>
        <v>0</v>
      </c>
      <c r="J15" s="26" t="n">
        <f aca="false">VLOOKUP('Pagamento Individual'!$A15,'Caixa Individual'!$B$6:$D$38,3,FALSE())</f>
        <v>534.57</v>
      </c>
      <c r="O15" s="15"/>
      <c r="P15" s="15" t="s">
        <v>97</v>
      </c>
      <c r="Q15" s="15" t="n">
        <v>0</v>
      </c>
      <c r="U15" s="15" t="n">
        <v>0</v>
      </c>
      <c r="V15" s="15" t="e">
        <f aca="false">#N/A</f>
        <v>#N/A</v>
      </c>
    </row>
    <row r="16" customFormat="false" ht="15" hidden="false" customHeight="false" outlineLevel="0" collapsed="false">
      <c r="A16" s="15" t="s">
        <v>56</v>
      </c>
      <c r="B16" s="18" t="s">
        <v>57</v>
      </c>
      <c r="C16" s="19" t="s">
        <v>24</v>
      </c>
      <c r="D16" s="24" t="s">
        <v>97</v>
      </c>
      <c r="E16" s="25"/>
      <c r="F16" s="25"/>
      <c r="G16" s="25"/>
      <c r="H16" s="25"/>
      <c r="I16" s="25" t="n">
        <f aca="false">SUM('Pagamento Individual'!$E16:$H16)</f>
        <v>0</v>
      </c>
      <c r="J16" s="26" t="n">
        <f aca="false">VLOOKUP('Pagamento Individual'!$A16,'Caixa Individual'!$B$6:$D$38,3,FALSE())</f>
        <v>457.1</v>
      </c>
      <c r="O16" s="15"/>
      <c r="P16" s="15" t="s">
        <v>97</v>
      </c>
      <c r="Q16" s="15" t="n">
        <v>100</v>
      </c>
      <c r="U16" s="15" t="n">
        <v>100</v>
      </c>
      <c r="V16" s="15" t="e">
        <f aca="false">#N/A</f>
        <v>#N/A</v>
      </c>
    </row>
    <row r="17" customFormat="false" ht="15" hidden="false" customHeight="false" outlineLevel="0" collapsed="false">
      <c r="A17" s="15" t="s">
        <v>58</v>
      </c>
      <c r="B17" s="18" t="s">
        <v>59</v>
      </c>
      <c r="C17" s="19" t="s">
        <v>24</v>
      </c>
      <c r="D17" s="27" t="s">
        <v>92</v>
      </c>
      <c r="E17" s="28"/>
      <c r="F17" s="28"/>
      <c r="G17" s="28"/>
      <c r="H17" s="28"/>
      <c r="I17" s="28" t="n">
        <f aca="false">SUM('Pagamento Individual'!$E17:$H17)</f>
        <v>0</v>
      </c>
      <c r="J17" s="26" t="n">
        <f aca="false">VLOOKUP('Pagamento Individual'!$A17,'Caixa Individual'!$B$6:$D$38,3,FALSE())</f>
        <v>372</v>
      </c>
      <c r="O17" s="15"/>
      <c r="P17" s="15" t="s">
        <v>97</v>
      </c>
      <c r="U17" s="15" t="n">
        <v>0</v>
      </c>
      <c r="V17" s="15" t="e">
        <f aca="false">#N/A</f>
        <v>#N/A</v>
      </c>
    </row>
    <row r="18" customFormat="false" ht="15" hidden="false" customHeight="false" outlineLevel="0" collapsed="false">
      <c r="A18" s="15" t="s">
        <v>60</v>
      </c>
      <c r="B18" s="18" t="s">
        <v>61</v>
      </c>
      <c r="C18" s="19" t="s">
        <v>24</v>
      </c>
      <c r="D18" s="27" t="s">
        <v>97</v>
      </c>
      <c r="E18" s="28"/>
      <c r="F18" s="28"/>
      <c r="G18" s="28"/>
      <c r="H18" s="28"/>
      <c r="I18" s="28" t="n">
        <f aca="false">SUM('Pagamento Individual'!$E18:$H18)</f>
        <v>0</v>
      </c>
      <c r="J18" s="29" t="n">
        <f aca="false">VLOOKUP('Pagamento Individual'!$A18,'Caixa Individual'!$B$6:$D$38,3,FALSE())</f>
        <v>372</v>
      </c>
      <c r="O18" s="15"/>
      <c r="P18" s="15" t="s">
        <v>97</v>
      </c>
      <c r="Q18" s="15" t="n">
        <v>0</v>
      </c>
      <c r="U18" s="15" t="n">
        <v>0</v>
      </c>
      <c r="V18" s="15" t="e">
        <f aca="false">#N/A</f>
        <v>#N/A</v>
      </c>
    </row>
    <row r="19" customFormat="false" ht="15" hidden="false" customHeight="false" outlineLevel="0" collapsed="false">
      <c r="A19" s="15" t="s">
        <v>62</v>
      </c>
      <c r="B19" s="18" t="s">
        <v>63</v>
      </c>
      <c r="C19" s="19" t="s">
        <v>24</v>
      </c>
      <c r="D19" s="27" t="s">
        <v>92</v>
      </c>
      <c r="E19" s="28"/>
      <c r="F19" s="28"/>
      <c r="G19" s="28"/>
      <c r="H19" s="28"/>
      <c r="I19" s="28" t="n">
        <f aca="false">SUM('Pagamento Individual'!$E19:$H19)</f>
        <v>0</v>
      </c>
      <c r="J19" s="29" t="n">
        <f aca="false">VLOOKUP('Pagamento Individual'!$A19,'Caixa Individual'!$B$6:$D$38,3,FALSE())</f>
        <v>562.57</v>
      </c>
      <c r="O19" s="15"/>
      <c r="P19" s="15" t="s">
        <v>97</v>
      </c>
      <c r="Q19" s="15" t="s">
        <v>98</v>
      </c>
      <c r="U19" s="15" t="n">
        <v>0</v>
      </c>
      <c r="V19" s="15" t="e">
        <f aca="false">#N/A</f>
        <v>#N/A</v>
      </c>
    </row>
    <row r="20" customFormat="false" ht="15" hidden="false" customHeight="false" outlineLevel="0" collapsed="false">
      <c r="A20" s="15" t="s">
        <v>64</v>
      </c>
      <c r="B20" s="18" t="s">
        <v>65</v>
      </c>
      <c r="C20" s="19" t="s">
        <v>24</v>
      </c>
      <c r="D20" s="27" t="s">
        <v>97</v>
      </c>
      <c r="E20" s="28"/>
      <c r="F20" s="28"/>
      <c r="G20" s="28"/>
      <c r="H20" s="28"/>
      <c r="I20" s="28" t="n">
        <f aca="false">SUM('Pagamento Individual'!$E20:$H20)</f>
        <v>0</v>
      </c>
      <c r="J20" s="29" t="n">
        <f aca="false">VLOOKUP('Pagamento Individual'!$A20,'Caixa Individual'!$B$6:$D$38,3,FALSE())</f>
        <v>362.57</v>
      </c>
      <c r="O20" s="15"/>
      <c r="P20" s="15" t="s">
        <v>97</v>
      </c>
      <c r="Q20" s="15" t="s">
        <v>98</v>
      </c>
      <c r="U20" s="15" t="n">
        <v>0</v>
      </c>
      <c r="V20" s="15" t="e">
        <f aca="false">#N/A</f>
        <v>#N/A</v>
      </c>
    </row>
    <row r="21" customFormat="false" ht="15.75" hidden="false" customHeight="true" outlineLevel="0" collapsed="false">
      <c r="A21" s="15" t="s">
        <v>66</v>
      </c>
      <c r="B21" s="18" t="s">
        <v>67</v>
      </c>
      <c r="C21" s="19" t="s">
        <v>24</v>
      </c>
      <c r="D21" s="27" t="s">
        <v>92</v>
      </c>
      <c r="E21" s="28"/>
      <c r="F21" s="28"/>
      <c r="G21" s="28"/>
      <c r="H21" s="28"/>
      <c r="I21" s="28" t="n">
        <f aca="false">SUM('Pagamento Individual'!$E21:$H21)</f>
        <v>0</v>
      </c>
      <c r="J21" s="29" t="n">
        <f aca="false">VLOOKUP('Pagamento Individual'!$A21,'Caixa Individual'!$B$6:$D$38,3,FALSE())</f>
        <v>572</v>
      </c>
      <c r="O21" s="15"/>
      <c r="P21" s="15" t="s">
        <v>97</v>
      </c>
      <c r="Q21" s="15" t="s">
        <v>98</v>
      </c>
      <c r="U21" s="15" t="n">
        <v>0</v>
      </c>
      <c r="V21" s="15" t="e">
        <f aca="false">#N/A</f>
        <v>#N/A</v>
      </c>
    </row>
    <row r="22" customFormat="false" ht="15.75" hidden="false" customHeight="true" outlineLevel="0" collapsed="false">
      <c r="A22" s="15" t="s">
        <v>68</v>
      </c>
      <c r="B22" s="18" t="s">
        <v>69</v>
      </c>
      <c r="C22" s="19" t="s">
        <v>24</v>
      </c>
      <c r="D22" s="27" t="s">
        <v>92</v>
      </c>
      <c r="E22" s="28" t="n">
        <v>372</v>
      </c>
      <c r="F22" s="28"/>
      <c r="G22" s="28"/>
      <c r="H22" s="28"/>
      <c r="I22" s="28" t="n">
        <f aca="false">SUM('Pagamento Individual'!$E22:$H22)</f>
        <v>372</v>
      </c>
      <c r="J22" s="29" t="str">
        <f aca="false">VLOOKUP('Pagamento Individual'!$A22,'Caixa Individual'!$B$6:$D$38,3,FALSE())</f>
        <v>OK</v>
      </c>
      <c r="O22" s="15"/>
      <c r="P22" s="15" t="s">
        <v>97</v>
      </c>
      <c r="Q22" s="15" t="n">
        <v>0</v>
      </c>
      <c r="U22" s="15" t="n">
        <v>0</v>
      </c>
      <c r="V22" s="15" t="e">
        <f aca="false">#N/A</f>
        <v>#N/A</v>
      </c>
    </row>
    <row r="23" customFormat="false" ht="15.75" hidden="false" customHeight="true" outlineLevel="0" collapsed="false">
      <c r="A23" s="15" t="s">
        <v>70</v>
      </c>
      <c r="B23" s="18" t="s">
        <v>71</v>
      </c>
      <c r="C23" s="19" t="s">
        <v>17</v>
      </c>
      <c r="D23" s="27" t="s">
        <v>92</v>
      </c>
      <c r="E23" s="28"/>
      <c r="F23" s="28"/>
      <c r="G23" s="28"/>
      <c r="H23" s="28"/>
      <c r="I23" s="28" t="n">
        <f aca="false">SUM('Pagamento Individual'!$E23:$H23)</f>
        <v>0</v>
      </c>
      <c r="J23" s="29" t="n">
        <f aca="false">VLOOKUP('Pagamento Individual'!$A23,'Caixa Individual'!$B$6:$D$38,3,FALSE())</f>
        <v>272</v>
      </c>
      <c r="O23" s="15"/>
      <c r="P23" s="15" t="s">
        <v>97</v>
      </c>
      <c r="Q23" s="15" t="n">
        <v>0</v>
      </c>
      <c r="U23" s="15" t="n">
        <v>0</v>
      </c>
      <c r="V23" s="15" t="n">
        <v>362.57</v>
      </c>
    </row>
    <row r="24" customFormat="false" ht="15.75" hidden="false" customHeight="true" outlineLevel="0" collapsed="false">
      <c r="A24" s="15" t="s">
        <v>72</v>
      </c>
      <c r="B24" s="18" t="s">
        <v>73</v>
      </c>
      <c r="C24" s="19" t="s">
        <v>17</v>
      </c>
      <c r="D24" s="27" t="s">
        <v>97</v>
      </c>
      <c r="E24" s="28"/>
      <c r="F24" s="28"/>
      <c r="G24" s="28"/>
      <c r="H24" s="28"/>
      <c r="I24" s="28" t="n">
        <f aca="false">SUM('Pagamento Individual'!$E24:$H24)</f>
        <v>0</v>
      </c>
      <c r="J24" s="29" t="n">
        <f aca="false">VLOOKUP('Pagamento Individual'!$A24,'Caixa Individual'!$B$6:$D$38,3,FALSE())</f>
        <v>412.57</v>
      </c>
      <c r="O24" s="15"/>
      <c r="P24" s="15" t="s">
        <v>97</v>
      </c>
      <c r="Q24" s="15" t="n">
        <v>0</v>
      </c>
      <c r="U24" s="15" t="n">
        <v>0</v>
      </c>
      <c r="V24" s="15" t="e">
        <f aca="false">#N/A</f>
        <v>#N/A</v>
      </c>
    </row>
    <row r="25" customFormat="false" ht="15.75" hidden="false" customHeight="true" outlineLevel="0" collapsed="false">
      <c r="A25" s="15" t="s">
        <v>76</v>
      </c>
      <c r="B25" s="18" t="s">
        <v>77</v>
      </c>
      <c r="C25" s="19" t="s">
        <v>24</v>
      </c>
      <c r="D25" s="27" t="s">
        <v>92</v>
      </c>
      <c r="E25" s="28"/>
      <c r="F25" s="28"/>
      <c r="G25" s="28"/>
      <c r="H25" s="28"/>
      <c r="I25" s="28" t="n">
        <f aca="false">SUM('Pagamento Individual'!$E25:$H25)</f>
        <v>0</v>
      </c>
      <c r="J25" s="29" t="n">
        <f aca="false">VLOOKUP('Pagamento Individual'!$A25,'Caixa Individual'!$B$6:$D$38,3,FALSE())</f>
        <v>447.67</v>
      </c>
      <c r="O25" s="15"/>
      <c r="P25" s="15" t="s">
        <v>97</v>
      </c>
      <c r="U25" s="15" t="n">
        <v>0</v>
      </c>
      <c r="V25" s="15" t="e">
        <f aca="false">#N/A</f>
        <v>#N/A</v>
      </c>
    </row>
    <row r="26" customFormat="false" ht="15.75" hidden="false" customHeight="true" outlineLevel="0" collapsed="false">
      <c r="A26" s="15" t="s">
        <v>78</v>
      </c>
      <c r="B26" s="18" t="s">
        <v>79</v>
      </c>
      <c r="C26" s="19" t="s">
        <v>24</v>
      </c>
      <c r="D26" s="27" t="s">
        <v>97</v>
      </c>
      <c r="E26" s="28"/>
      <c r="F26" s="28"/>
      <c r="G26" s="28"/>
      <c r="H26" s="28"/>
      <c r="I26" s="28" t="n">
        <f aca="false">SUM('Pagamento Individual'!$E26:$H26)</f>
        <v>0</v>
      </c>
      <c r="J26" s="29" t="n">
        <f aca="false">VLOOKUP('Pagamento Individual'!$A26,'Caixa Individual'!$B$6:$D$38,3,FALSE())</f>
        <v>432.32</v>
      </c>
    </row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dataValidations count="2">
    <dataValidation allowBlank="true" errorStyle="stop" operator="between" showDropDown="false" showErrorMessage="true" showInputMessage="false" sqref="C3:C26" type="list">
      <formula1>"Immortals,Phoenix,Extra"</formula1>
      <formula2>0</formula2>
    </dataValidation>
    <dataValidation allowBlank="true" errorStyle="stop" operator="between" showDropDown="false" showErrorMessage="true" showInputMessage="false" sqref="D3:D26" type="list">
      <formula1>"Pagara Total,Pagara Parcial"</formula1>
      <formula2>0</formula2>
    </dataValidation>
  </dataValidation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2025-11-06T15:31:20Z</dcterms:modified>
  <cp:revision>1</cp:revision>
  <dc:subject/>
  <dc:title/>
</cp:coreProperties>
</file>