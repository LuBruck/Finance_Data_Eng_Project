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Individual" sheetId="1" r:id="rId4"/>
    <sheet state="visible" name="Dados" sheetId="2" r:id="rId5"/>
    <sheet state="visible" name="Pagamento Individual" sheetId="3" r:id="rId6"/>
  </sheets>
  <definedNames/>
  <calcPr/>
</workbook>
</file>

<file path=xl/sharedStrings.xml><?xml version="1.0" encoding="utf-8"?>
<sst xmlns="http://schemas.openxmlformats.org/spreadsheetml/2006/main" count="281" uniqueCount="119">
  <si>
    <t>Caixa Individual 2025</t>
  </si>
  <si>
    <t>Nome</t>
  </si>
  <si>
    <t>Valor Arrecadado</t>
  </si>
  <si>
    <t>Faltante</t>
  </si>
  <si>
    <t>Valor arrecadado total:</t>
  </si>
  <si>
    <t>Valor restante total:</t>
  </si>
  <si>
    <t>Atletas com pendência:</t>
  </si>
  <si>
    <t>CPF</t>
  </si>
  <si>
    <t>Time</t>
  </si>
  <si>
    <t>Rifa 1 - 01/05/2025</t>
  </si>
  <si>
    <t>Rifa 2 - 01/06/2025</t>
  </si>
  <si>
    <t>Rifa 3 - 01/08/2025</t>
  </si>
  <si>
    <t>Rifa CF - 01/10/2025</t>
  </si>
  <si>
    <t>Total</t>
  </si>
  <si>
    <t>Meta</t>
  </si>
  <si>
    <t>Amanda  Santos</t>
  </si>
  <si>
    <t>446.928.320-70</t>
  </si>
  <si>
    <t>Phoenix</t>
  </si>
  <si>
    <t>Ana Guimarães</t>
  </si>
  <si>
    <t>640.535.130-06</t>
  </si>
  <si>
    <t>Antonio Gonçalves</t>
  </si>
  <si>
    <t>880.953.950-80</t>
  </si>
  <si>
    <t>Bruna Kiyono</t>
  </si>
  <si>
    <t>635.334.670-07</t>
  </si>
  <si>
    <t>Immortals</t>
  </si>
  <si>
    <t>Calebe de Oliveira</t>
  </si>
  <si>
    <t>649.424.580-30</t>
  </si>
  <si>
    <t>Daniel Hara</t>
  </si>
  <si>
    <t>983.954.920-06</t>
  </si>
  <si>
    <t>Edilson Junior</t>
  </si>
  <si>
    <t>543.590.700-47</t>
  </si>
  <si>
    <t>Felipe Soares</t>
  </si>
  <si>
    <t>152.503.150-38</t>
  </si>
  <si>
    <t>Gabriel Trigolo</t>
  </si>
  <si>
    <t>790.068.370-40</t>
  </si>
  <si>
    <t>Gabriel de Oliveira</t>
  </si>
  <si>
    <t>341.251.760-78</t>
  </si>
  <si>
    <t>Gustavo Ribeiro</t>
  </si>
  <si>
    <t>011.103.590-20</t>
  </si>
  <si>
    <t>Heloá Da Silva</t>
  </si>
  <si>
    <t>458.775.990-20</t>
  </si>
  <si>
    <t>Heloisa de Oliveira</t>
  </si>
  <si>
    <t>171.537.830-08</t>
  </si>
  <si>
    <t>Igor Sena</t>
  </si>
  <si>
    <t>113.551.300-77</t>
  </si>
  <si>
    <t>João Bento</t>
  </si>
  <si>
    <t>738.034.990-20</t>
  </si>
  <si>
    <t>João de Almeida</t>
  </si>
  <si>
    <t>848.802.760-57</t>
  </si>
  <si>
    <t>João Pinho</t>
  </si>
  <si>
    <t>707.683.290-94</t>
  </si>
  <si>
    <t>João Santos</t>
  </si>
  <si>
    <t>501.040.960-71</t>
  </si>
  <si>
    <t>Júlia Real</t>
  </si>
  <si>
    <t>905.346.880-39</t>
  </si>
  <si>
    <t>final de 07</t>
  </si>
  <si>
    <t>Kaue Nunes</t>
  </si>
  <si>
    <t>711.031.530-48</t>
  </si>
  <si>
    <t>Letícia Pereira</t>
  </si>
  <si>
    <t>975.524.820-01</t>
  </si>
  <si>
    <t>Luan Macedo</t>
  </si>
  <si>
    <t>454.648.920-01</t>
  </si>
  <si>
    <t>Luanda Vital</t>
  </si>
  <si>
    <t>216.652.530-02</t>
  </si>
  <si>
    <t>Lucas Bruck</t>
  </si>
  <si>
    <t>978.074.480-08</t>
  </si>
  <si>
    <t>Luiz Pinto</t>
  </si>
  <si>
    <t>290.456.840-98</t>
  </si>
  <si>
    <t>Marcelo Ruiz</t>
  </si>
  <si>
    <t>355.157.500-20</t>
  </si>
  <si>
    <t>Maria Santos</t>
  </si>
  <si>
    <t>352.057.710-03</t>
  </si>
  <si>
    <t>Mateus Pazinatto</t>
  </si>
  <si>
    <t>451.727.610-47</t>
  </si>
  <si>
    <t>Matheus Fenili</t>
  </si>
  <si>
    <t>102.590.770-11</t>
  </si>
  <si>
    <t>Natalia Massari</t>
  </si>
  <si>
    <t>036.678.680-65</t>
  </si>
  <si>
    <t>Nestor Junior</t>
  </si>
  <si>
    <t>504.682.600-30</t>
  </si>
  <si>
    <t>Rhafaela  Oliveira</t>
  </si>
  <si>
    <t>666.679.320-09</t>
  </si>
  <si>
    <t>Yaron Büchler</t>
  </si>
  <si>
    <t>591.381.000-70</t>
  </si>
  <si>
    <t>Categoria De Pagamento</t>
  </si>
  <si>
    <t>Valor  - 01/10/2025</t>
  </si>
  <si>
    <t>Valor  - 01/11/2025</t>
  </si>
  <si>
    <t>Valor -  01/12/2025</t>
  </si>
  <si>
    <t>Valor - 01/1/2026</t>
  </si>
  <si>
    <t>Total Arrecadado</t>
  </si>
  <si>
    <t>Total faltante</t>
  </si>
  <si>
    <t>VALOR MOSTRADO NO RELATORIO</t>
  </si>
  <si>
    <t>Pagara Total</t>
  </si>
  <si>
    <t>Valor Mês 10</t>
  </si>
  <si>
    <t>Valor Mês 11</t>
  </si>
  <si>
    <t>Valor Mês 12</t>
  </si>
  <si>
    <t>Valor Mês 1/26</t>
  </si>
  <si>
    <t>Pagara Parcial</t>
  </si>
  <si>
    <t xml:space="preserve">Amanda dos Anjos Santos  </t>
  </si>
  <si>
    <t>Antonio Totti Gonçalves</t>
  </si>
  <si>
    <t>NA</t>
  </si>
  <si>
    <t>Gabriel Marcondes Trigolo</t>
  </si>
  <si>
    <t>Júlia Pivello Vila Real</t>
  </si>
  <si>
    <t>Letícia Esteves Rosa Pereira</t>
  </si>
  <si>
    <t>Luanda Shibata de Jesus Vital</t>
  </si>
  <si>
    <t>Luiz Henrique Almeida Pinto</t>
  </si>
  <si>
    <t>Maria Gabriely dos Santos</t>
  </si>
  <si>
    <t xml:space="preserve">Ana Luiza de Moraes Guimarães  </t>
  </si>
  <si>
    <t xml:space="preserve">Calebe Fernandes de Oliveira  </t>
  </si>
  <si>
    <t>Felipe Lira do Carmo Soares</t>
  </si>
  <si>
    <t xml:space="preserve">Heloisa Prado de Oliveira  </t>
  </si>
  <si>
    <t>Igor Silva Sena</t>
  </si>
  <si>
    <t xml:space="preserve">João Pedro Bento  </t>
  </si>
  <si>
    <t xml:space="preserve">João Vitor de Oliveira Pinho  </t>
  </si>
  <si>
    <t xml:space="preserve">João Vitor Nogueira Santos  </t>
  </si>
  <si>
    <t>kaue kato nunes</t>
  </si>
  <si>
    <t>Luan Tarumoto de Macedo</t>
  </si>
  <si>
    <t xml:space="preserve">Mateus Pazinatto  </t>
  </si>
  <si>
    <t>Nestor da Silva Santos Junior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</si>
</sst>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 &quot;* #,##0.00_-;&quot;-R$ &quot;* #,##0.00_-;_-&quot;R$ &quot;* \-??_-;_-@"/>
  </numFmts>
  <fonts count="14">
    <font>
      <sz val="11.0"/>
      <color theme="1"/>
      <name val="Aptos Narrow"/>
      <scheme val="minor"/>
    </font>
    <font>
      <sz val="11.0"/>
      <color theme="1"/>
      <name val="Bahnschrift SemiCondensed"/>
    </font>
    <font>
      <b/>
      <sz val="24.0"/>
      <color theme="1"/>
      <name val="Bahnschrift SemiCondensed"/>
    </font>
    <font>
      <b/>
      <sz val="16.0"/>
      <color theme="1"/>
      <name val="Bahnschrift SemiCondensed"/>
    </font>
    <font>
      <b/>
      <sz val="14.0"/>
      <color theme="1"/>
      <name val="Bahnschrift SemiCondensed"/>
    </font>
    <font>
      <sz val="14.0"/>
      <color theme="1"/>
      <name val="Bahnschrift SemiCondensed"/>
    </font>
    <font>
      <sz val="14.0"/>
      <color rgb="FF000000"/>
      <name val="Bahnschrift SemiCondensed"/>
    </font>
    <font>
      <u/>
      <sz val="11.0"/>
      <color theme="1"/>
      <name val="Bahnschrift SemiCondensed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0.0"/>
      <color theme="1"/>
      <name val="Liberation Sans"/>
    </font>
    <font>
      <sz val="11.0"/>
      <color theme="1"/>
      <name val="Arial"/>
    </font>
    <font>
      <sz val="11.0"/>
      <color rgb="FF202124"/>
      <name val="Arial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B909"/>
        <bgColor rgb="FFFFB909"/>
      </patternFill>
    </fill>
  </fills>
  <borders count="9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1" fillId="3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center" vertical="center"/>
    </xf>
    <xf borderId="0" fillId="0" fontId="6" numFmtId="0" xfId="0" applyFont="1"/>
    <xf borderId="0" fillId="0" fontId="5" numFmtId="164" xfId="0" applyAlignment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164" xfId="0" applyFont="1" applyNumberFormat="1"/>
    <xf borderId="0" fillId="0" fontId="11" numFmtId="0" xfId="0" applyFont="1"/>
    <xf borderId="0" fillId="0" fontId="10" numFmtId="0" xfId="0" applyAlignment="1" applyFont="1">
      <alignment horizontal="center"/>
    </xf>
    <xf borderId="2" fillId="0" fontId="10" numFmtId="0" xfId="0" applyBorder="1" applyFont="1"/>
    <xf borderId="3" fillId="0" fontId="10" numFmtId="0" xfId="0" applyBorder="1" applyFont="1"/>
    <xf borderId="3" fillId="0" fontId="12" numFmtId="0" xfId="0" applyAlignment="1" applyBorder="1" applyFont="1">
      <alignment readingOrder="0"/>
    </xf>
    <xf borderId="4" fillId="0" fontId="10" numFmtId="0" xfId="0" applyBorder="1" applyFont="1"/>
    <xf borderId="5" fillId="0" fontId="13" numFmtId="0" xfId="0" applyAlignment="1" applyBorder="1" applyFont="1">
      <alignment shrinkToFit="0" vertical="center" wrapText="1"/>
    </xf>
    <xf borderId="5" fillId="0" fontId="10" numFmtId="164" xfId="0" applyBorder="1" applyFont="1" applyNumberFormat="1"/>
    <xf borderId="6" fillId="0" fontId="10" numFmtId="164" xfId="0" applyBorder="1" applyFont="1" applyNumberFormat="1"/>
    <xf borderId="7" fillId="0" fontId="13" numFmtId="0" xfId="0" applyAlignment="1" applyBorder="1" applyFont="1">
      <alignment shrinkToFit="0" vertical="center" wrapText="1"/>
    </xf>
    <xf borderId="7" fillId="0" fontId="10" numFmtId="164" xfId="0" applyBorder="1" applyFont="1" applyNumberFormat="1"/>
    <xf borderId="8" fillId="0" fontId="10" numFmtId="164" xfId="0" applyBorder="1" applyFont="1" applyNumberFormat="1"/>
  </cellXfs>
  <cellStyles count="1">
    <cellStyle xfId="0" name="Normal" builtinId="0"/>
  </cellStyles>
  <dxfs count="2">
    <dxf>
      <font>
        <b/>
        <color rgb="FF275417"/>
      </font>
      <fill>
        <patternFill patternType="solid">
          <fgColor rgb="FFD9F2D0"/>
          <bgColor rgb="FFD9F2D0"/>
        </patternFill>
      </fill>
      <border>
        <left style="thin">
          <color rgb="FF275317"/>
        </left>
        <right style="thin">
          <color rgb="FF275317"/>
        </right>
        <top style="thin">
          <color rgb="FF275317"/>
        </top>
        <bottom style="thin">
          <color rgb="FF275317"/>
        </bottom>
      </border>
    </dxf>
    <dxf>
      <font>
        <color rgb="FF7E370E"/>
      </font>
      <numFmt numFmtId="0" formatCode="_-&quot;R$ &quot;* #,##0.00_-;&quot;-R$ &quot;* #,##0.00_-;_-&quot;R$ &quot;* \-??_-;_-@"/>
      <fill>
        <patternFill patternType="solid">
          <fgColor rgb="FFFAE2D5"/>
          <bgColor rgb="FFFAE2D5"/>
        </patternFill>
      </fill>
      <border>
        <left style="thin">
          <color rgb="FF7E360E"/>
        </left>
        <right style="thin">
          <color rgb="FF7E360E"/>
        </right>
        <top style="thin">
          <color rgb="FF7E360E"/>
        </top>
        <bottom style="thin">
          <color rgb="FF7E360E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45.88"/>
    <col customWidth="1" min="3" max="3" width="23.38"/>
    <col customWidth="1" min="4" max="5" width="16.38"/>
    <col customWidth="1" min="6" max="6" width="9.0"/>
    <col customWidth="1" min="7" max="7" width="31.88"/>
    <col customWidth="1" min="8" max="8" width="23.38"/>
    <col customWidth="1" min="9" max="9" width="16.38"/>
    <col customWidth="1" min="10" max="26" width="9.0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4" t="s">
        <v>0</v>
      </c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/>
      <c r="B4" s="5"/>
      <c r="F4" s="2"/>
      <c r="G4" s="2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7" t="s">
        <v>1</v>
      </c>
      <c r="C5" s="7" t="s">
        <v>2</v>
      </c>
      <c r="D5" s="7" t="s">
        <v>3</v>
      </c>
      <c r="E5" s="2"/>
      <c r="F5" s="2"/>
      <c r="G5" s="8" t="s">
        <v>4</v>
      </c>
      <c r="H5" s="9">
        <f>SUM('Caixa Individual'!$C$6:$C$38)</f>
        <v>6349.634444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10" t="str">
        <f>IF(Dados!A3="","",Dados!A3)</f>
        <v>Amanda  Santos</v>
      </c>
      <c r="C6" s="11">
        <f>SUMIF(Dados!$A$3:$A$36,Dados!A3,Dados!$H$3:$H$36) + SUMIF('Pagamento Individual'!$A$3:$A$26,Dados!A3,'Pagamento Individual'!$I$3:$I$26)</f>
        <v>150</v>
      </c>
      <c r="D6" s="11">
        <f>IF('Caixa Individual'!$C6&lt;Dados!$J$3,Dados!$J$3-'Caixa Individual'!$C6,"OK")</f>
        <v>422</v>
      </c>
      <c r="E6" s="2"/>
      <c r="F6" s="2"/>
      <c r="G6" s="8" t="s">
        <v>5</v>
      </c>
      <c r="H6" s="9">
        <f>-SUM('Caixa Individual'!$D$6:$D$38)</f>
        <v>-12526.36556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12" t="str">
        <f>IF(Dados!A4="","",Dados!A4)</f>
        <v>Ana Guimarães</v>
      </c>
      <c r="C7" s="11">
        <f>SUMIF(Dados!$A$3:$A$36,Dados!A4,Dados!$H$3:$H$36) + SUMIF('Pagamento Individual'!$A$3:$A$26,Dados!A4,'Pagamento Individual'!$I$3:$I$26)</f>
        <v>138.25</v>
      </c>
      <c r="D7" s="11">
        <f>IF('Caixa Individual'!$C7&lt;Dados!$J$3,Dados!$J$3-'Caixa Individual'!$C7,"OK")</f>
        <v>433.75</v>
      </c>
      <c r="E7" s="2"/>
      <c r="F7" s="2"/>
      <c r="G7" s="8" t="s">
        <v>6</v>
      </c>
      <c r="H7" s="13">
        <f>SUM(COUNTA('Caixa Individual'!$D$6:$D$38)-COUNTIF('Caixa Individual'!$D$6:$D$38,"OK"))</f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12" t="str">
        <f>IF(Dados!A5="","",Dados!A5)</f>
        <v>Antonio Gonçalves</v>
      </c>
      <c r="C8" s="11">
        <f>SUMIF(Dados!$A$3:$A$36,Dados!A5,Dados!$H$3:$H$36) + SUMIF('Pagamento Individual'!$A$3:$A$26,Dados!A5,'Pagamento Individual'!$I$3:$I$26)</f>
        <v>300</v>
      </c>
      <c r="D8" s="11">
        <f>IF('Caixa Individual'!$C8&lt;Dados!$J$3,Dados!$J$3-'Caixa Individual'!$C8,"OK")</f>
        <v>272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12" t="str">
        <f>IF(Dados!A6="","",Dados!A6)</f>
        <v>Bruna Kiyono</v>
      </c>
      <c r="C9" s="11">
        <f>SUMIF(Dados!$A$3:$A$36,Dados!A6,Dados!$H$3:$H$36) + SUMIF('Pagamento Individual'!$A$3:$A$26,Dados!A6,'Pagamento Individual'!$I$3:$I$26)</f>
        <v>200</v>
      </c>
      <c r="D9" s="11">
        <f>IF('Caixa Individual'!$C9&lt;Dados!$J$3,Dados!$J$3-'Caixa Individual'!$C9,"OK")</f>
        <v>372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10" t="str">
        <f>IF(Dados!A7="","",Dados!A7)</f>
        <v>Calebe de Oliveira</v>
      </c>
      <c r="C10" s="11">
        <f>SUMIF(Dados!$A$3:$A$36,Dados!A7,Dados!$H$3:$H$36) + SUMIF('Pagamento Individual'!$A$3:$A$26,Dados!A7,'Pagamento Individual'!$I$3:$I$26)</f>
        <v>249.43</v>
      </c>
      <c r="D10" s="11">
        <f>IF('Caixa Individual'!$C10&lt;Dados!$J$3,Dados!$J$3-'Caixa Individual'!$C10,"OK")</f>
        <v>322.57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12" t="str">
        <f>IF(Dados!A8="","",Dados!A8)</f>
        <v>Daniel Hara</v>
      </c>
      <c r="C11" s="11">
        <f>SUMIF(Dados!$A$3:$A$36,Dados!A8,Dados!$H$3:$H$36) + SUMIF('Pagamento Individual'!$A$3:$A$26,Dados!A8,'Pagamento Individual'!$I$3:$I$26)</f>
        <v>572</v>
      </c>
      <c r="D11" s="11" t="str">
        <f>IF('Caixa Individual'!$C11&lt;Dados!$J$3,Dados!$J$3-'Caixa Individual'!$C11,"OK")</f>
        <v>OK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12" t="str">
        <f>IF(Dados!A9="","",Dados!A9)</f>
        <v>Edilson Junior</v>
      </c>
      <c r="C12" s="11">
        <f>SUMIF(Dados!$A$3:$A$36,Dados!A9,Dados!$H$3:$H$36) + SUMIF('Pagamento Individual'!$A$3:$A$26,Dados!A9,'Pagamento Individual'!$I$3:$I$26)</f>
        <v>159.43</v>
      </c>
      <c r="D12" s="11">
        <f>IF('Caixa Individual'!$C12&lt;Dados!$J$3,Dados!$J$3-'Caixa Individual'!$C12,"OK")</f>
        <v>412.57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12" t="str">
        <f>IF(Dados!A10="","",Dados!A10)</f>
        <v>Felipe Soares</v>
      </c>
      <c r="C13" s="11">
        <f>SUMIF(Dados!$A$3:$A$36,Dados!A10,Dados!$H$3:$H$36) + SUMIF('Pagamento Individual'!$A$3:$A$26,Dados!A10,'Pagamento Individual'!$I$3:$I$26)</f>
        <v>159.43</v>
      </c>
      <c r="D13" s="11">
        <f>IF('Caixa Individual'!$C13&lt;Dados!$J$3,Dados!$J$3-'Caixa Individual'!$C13,"OK")</f>
        <v>412.57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12" t="str">
        <f>IF(Dados!A11="","",Dados!A11)</f>
        <v>Gabriel Trigolo</v>
      </c>
      <c r="C14" s="11">
        <f>SUMIF(Dados!$A$3:$A$36,Dados!A11,Dados!$H$3:$H$36) + SUMIF('Pagamento Individual'!$A$3:$A$26,Dados!A11,'Pagamento Individual'!$I$3:$I$26)</f>
        <v>198.43</v>
      </c>
      <c r="D14" s="11">
        <f>IF('Caixa Individual'!$C14&lt;Dados!$J$3,Dados!$J$3-'Caixa Individual'!$C14,"OK")</f>
        <v>373.57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12" t="str">
        <f>IF(Dados!A12="","",Dados!A12)</f>
        <v>Gabriel de Oliveira</v>
      </c>
      <c r="C15" s="11">
        <f>SUMIF(Dados!$A$3:$A$36,Dados!A12,Dados!$H$3:$H$36) + SUMIF('Pagamento Individual'!$A$3:$A$26,Dados!A12,'Pagamento Individual'!$I$3:$I$26)</f>
        <v>200</v>
      </c>
      <c r="D15" s="11">
        <f>IF('Caixa Individual'!$C15&lt;Dados!$J$3,Dados!$J$3-'Caixa Individual'!$C15,"OK")</f>
        <v>372</v>
      </c>
      <c r="E15" s="2"/>
      <c r="F15" s="2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12" t="str">
        <f>IF(Dados!A13="","",Dados!A13)</f>
        <v>Gustavo Ribeiro</v>
      </c>
      <c r="C16" s="11">
        <f>SUMIF(Dados!$A$3:$A$36,Dados!A13,Dados!$H$3:$H$36) + SUMIF('Pagamento Individual'!$A$3:$A$26,Dados!A13,'Pagamento Individual'!$I$3:$I$26)</f>
        <v>150</v>
      </c>
      <c r="D16" s="11">
        <f>IF('Caixa Individual'!$C16&lt;Dados!$J$3,Dados!$J$3-'Caixa Individual'!$C16,"OK")</f>
        <v>422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12" t="str">
        <f>IF(Dados!A14="","",Dados!A14)</f>
        <v>Heloá Da Silva</v>
      </c>
      <c r="C17" s="11">
        <f>SUMIF(Dados!$A$3:$A$36,Dados!A14,Dados!$H$3:$H$36) + SUMIF('Pagamento Individual'!$A$3:$A$26,Dados!A14,'Pagamento Individual'!$I$3:$I$26)</f>
        <v>159.43</v>
      </c>
      <c r="D17" s="11">
        <f>IF('Caixa Individual'!$C17&lt;Dados!$J$3,Dados!$J$3-'Caixa Individual'!$C17,"OK")</f>
        <v>412.57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12" t="str">
        <f>IF(Dados!A15="","",Dados!A15)</f>
        <v>Heloisa de Oliveira</v>
      </c>
      <c r="C18" s="11">
        <f>SUMIF(Dados!$A$3:$A$36,Dados!A15,Dados!$H$3:$H$36) + SUMIF('Pagamento Individual'!$A$3:$A$26,Dados!A15,'Pagamento Individual'!$I$3:$I$26)</f>
        <v>159.43</v>
      </c>
      <c r="D18" s="11">
        <f>IF('Caixa Individual'!$C18&lt;Dados!$J$3,Dados!$J$3-'Caixa Individual'!$C18,"OK")</f>
        <v>412.57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12" t="str">
        <f>IF(Dados!A16="","",Dados!A16)</f>
        <v>Igor Sena</v>
      </c>
      <c r="C19" s="11">
        <f>SUMIF(Dados!$A$3:$A$36,Dados!A16,Dados!$H$3:$H$36) + SUMIF('Pagamento Individual'!$A$3:$A$26,Dados!A16,'Pagamento Individual'!$I$3:$I$26)</f>
        <v>411.8444444</v>
      </c>
      <c r="D19" s="11">
        <f>IF('Caixa Individual'!$C19&lt;Dados!$J$3,Dados!$J$3-'Caixa Individual'!$C19,"OK")</f>
        <v>160.1555556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12" t="str">
        <f>IF(Dados!A17="","",Dados!A17)</f>
        <v>João Bento</v>
      </c>
      <c r="C20" s="11">
        <f>SUMIF(Dados!$A$3:$A$36,Dados!A17,Dados!$H$3:$H$36) + SUMIF('Pagamento Individual'!$A$3:$A$26,Dados!A17,'Pagamento Individual'!$I$3:$I$26)</f>
        <v>150</v>
      </c>
      <c r="D20" s="11">
        <f>IF('Caixa Individual'!$C20&lt;Dados!$J$3,Dados!$J$3-'Caixa Individual'!$C20,"OK")</f>
        <v>422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12" t="str">
        <f>IF(Dados!A18="","",Dados!A18)</f>
        <v>João de Almeida</v>
      </c>
      <c r="C21" s="11">
        <f>SUMIF(Dados!$A$3:$A$36,Dados!A18,Dados!$H$3:$H$36) + SUMIF('Pagamento Individual'!$A$3:$A$26,Dados!A18,'Pagamento Individual'!$I$3:$I$26)</f>
        <v>147.68</v>
      </c>
      <c r="D21" s="11">
        <f>IF('Caixa Individual'!$C21&lt;Dados!$J$3,Dados!$J$3-'Caixa Individual'!$C21,"OK")</f>
        <v>424.32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12" t="str">
        <f>IF(Dados!A19="","",Dados!A19)</f>
        <v>João Pinho</v>
      </c>
      <c r="C22" s="11">
        <f>SUMIF(Dados!$A$3:$A$36,Dados!A19,Dados!$H$3:$H$36) + SUMIF('Pagamento Individual'!$A$3:$A$26,Dados!A19,'Pagamento Individual'!$I$3:$I$26)</f>
        <v>159.43</v>
      </c>
      <c r="D22" s="11">
        <f>IF('Caixa Individual'!$C22&lt;Dados!$J$3,Dados!$J$3-'Caixa Individual'!$C22,"OK")</f>
        <v>412.57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12" t="str">
        <f>IF(Dados!A20="","",Dados!A20)</f>
        <v>João Santos</v>
      </c>
      <c r="C23" s="11">
        <f>SUMIF(Dados!$A$3:$A$36,Dados!A20,Dados!$H$3:$H$36) + SUMIF('Pagamento Individual'!$A$3:$A$26,Dados!A20,'Pagamento Individual'!$I$3:$I$26)</f>
        <v>147.68</v>
      </c>
      <c r="D23" s="11">
        <f>IF('Caixa Individual'!$C23&lt;Dados!$J$3,Dados!$J$3-'Caixa Individual'!$C23,"OK")</f>
        <v>424.32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12" t="str">
        <f>IF(Dados!A21="","",Dados!A21)</f>
        <v>Júlia Real</v>
      </c>
      <c r="C24" s="11">
        <f>SUMIF(Dados!$A$3:$A$36,Dados!A21,Dados!$H$3:$H$36) + SUMIF('Pagamento Individual'!$A$3:$A$26,Dados!A21,'Pagamento Individual'!$I$3:$I$26)</f>
        <v>37.43</v>
      </c>
      <c r="D24" s="11">
        <f>IF('Caixa Individual'!$C24&lt;Dados!$J$3,Dados!$J$3-'Caixa Individual'!$C24,"OK")</f>
        <v>534.57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12" t="str">
        <f>IF(Dados!A22="","",Dados!A22)</f>
        <v>Kaue Nunes</v>
      </c>
      <c r="C25" s="11">
        <f>SUMIF(Dados!$A$3:$A$36,Dados!A22,Dados!$H$3:$H$36) + SUMIF('Pagamento Individual'!$A$3:$A$26,Dados!A22,'Pagamento Individual'!$I$3:$I$26)</f>
        <v>114.9</v>
      </c>
      <c r="D25" s="11">
        <f>IF('Caixa Individual'!$C25&lt;Dados!$J$3,Dados!$J$3-'Caixa Individual'!$C25,"OK")</f>
        <v>457.1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12" t="str">
        <f>IF(Dados!A23="","",Dados!A23)</f>
        <v>Letícia Pereira</v>
      </c>
      <c r="C26" s="11">
        <f>SUMIF(Dados!$A$3:$A$36,Dados!A23,Dados!$H$3:$H$36) + SUMIF('Pagamento Individual'!$A$3:$A$26,Dados!A23,'Pagamento Individual'!$I$3:$I$26)</f>
        <v>200</v>
      </c>
      <c r="D26" s="11">
        <f>IF('Caixa Individual'!$C26&lt;Dados!$J$3,Dados!$J$3-'Caixa Individual'!$C26,"OK")</f>
        <v>372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12" t="str">
        <f>IF(Dados!A24="","",Dados!A24)</f>
        <v>Luan Macedo</v>
      </c>
      <c r="C27" s="11">
        <f>SUMIF(Dados!$A$3:$A$36,Dados!A24,Dados!$H$3:$H$36) + SUMIF('Pagamento Individual'!$A$3:$A$26,Dados!A24,'Pagamento Individual'!$I$3:$I$26)</f>
        <v>200</v>
      </c>
      <c r="D27" s="11">
        <f>IF('Caixa Individual'!$C27&lt;Dados!$J$3,Dados!$J$3-'Caixa Individual'!$C27,"OK")</f>
        <v>372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12" t="str">
        <f>IF(Dados!A25="","",Dados!A25)</f>
        <v>Luanda Vital</v>
      </c>
      <c r="C28" s="11">
        <f>SUMIF(Dados!$A$3:$A$36,Dados!A25,Dados!$H$3:$H$36) + SUMIF('Pagamento Individual'!$A$3:$A$26,Dados!A25,'Pagamento Individual'!$I$3:$I$26)</f>
        <v>9.43</v>
      </c>
      <c r="D28" s="11">
        <f>IF('Caixa Individual'!$C28&lt;Dados!$J$3,Dados!$J$3-'Caixa Individual'!$C28,"OK")</f>
        <v>562.57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12" t="str">
        <f>IF(Dados!A26="","",Dados!A26)</f>
        <v>Lucas Bruck</v>
      </c>
      <c r="C29" s="11">
        <f>SUMIF(Dados!$A$3:$A$36,Dados!A26,Dados!$H$3:$H$36) + SUMIF('Pagamento Individual'!$A$3:$A$26,Dados!A26,'Pagamento Individual'!$I$3:$I$26)</f>
        <v>209.43</v>
      </c>
      <c r="D29" s="11">
        <f>IF('Caixa Individual'!$C29&lt;Dados!$J$3,Dados!$J$3-'Caixa Individual'!$C29,"OK")</f>
        <v>362.57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12" t="str">
        <f>IF(Dados!A27="","",Dados!A27)</f>
        <v>Luiz Pinto</v>
      </c>
      <c r="C30" s="11">
        <f>SUMIF(Dados!$A$3:$A$36,Dados!A27,Dados!$H$3:$H$36) + SUMIF('Pagamento Individual'!$A$3:$A$26,Dados!A27,'Pagamento Individual'!$I$3:$I$26)</f>
        <v>0</v>
      </c>
      <c r="D30" s="11">
        <f>IF('Caixa Individual'!$C30&lt;Dados!$J$3,Dados!$J$3-'Caixa Individual'!$C30,"OK")</f>
        <v>572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12" t="str">
        <f>IF(Dados!A28="","",Dados!A28)</f>
        <v>Marcelo Ruiz</v>
      </c>
      <c r="C31" s="11">
        <f>SUMIF(Dados!$A$3:$A$36,Dados!A28,Dados!$H$3:$H$36) + SUMIF('Pagamento Individual'!$A$3:$A$26,Dados!A28,'Pagamento Individual'!$I$3:$I$26)</f>
        <v>572</v>
      </c>
      <c r="D31" s="11" t="str">
        <f>IF('Caixa Individual'!$C31&lt;Dados!$J$3,Dados!$J$3-'Caixa Individual'!$C31,"OK")</f>
        <v>OK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12" t="str">
        <f>IF(Dados!A29="","",Dados!A29)</f>
        <v>Maria Santos</v>
      </c>
      <c r="C32" s="11">
        <f>SUMIF(Dados!$A$3:$A$36,Dados!A29,Dados!$H$3:$H$36) + SUMIF('Pagamento Individual'!$A$3:$A$26,Dados!A29,'Pagamento Individual'!$I$3:$I$26)</f>
        <v>300</v>
      </c>
      <c r="D32" s="11">
        <f>IF('Caixa Individual'!$C32&lt;Dados!$J$3,Dados!$J$3-'Caixa Individual'!$C32,"OK")</f>
        <v>272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12" t="str">
        <f>IF(Dados!A30="","",Dados!A30)</f>
        <v>Mateus Pazinatto</v>
      </c>
      <c r="C33" s="11">
        <f>SUMIF(Dados!$A$3:$A$36,Dados!A30,Dados!$H$3:$H$36) + SUMIF('Pagamento Individual'!$A$3:$A$26,Dados!A30,'Pagamento Individual'!$I$3:$I$26)</f>
        <v>159.43</v>
      </c>
      <c r="D33" s="11">
        <f>IF('Caixa Individual'!$C33&lt;Dados!$J$3,Dados!$J$3-'Caixa Individual'!$C33,"OK")</f>
        <v>412.57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12" t="str">
        <f>IF(Dados!A31="","",Dados!A31)</f>
        <v>Matheus Fenili</v>
      </c>
      <c r="C34" s="11">
        <f>SUMIF(Dados!$A$3:$A$36,Dados!A31,Dados!$H$3:$H$36) + SUMIF('Pagamento Individual'!$A$3:$A$26,Dados!A31,'Pagamento Individual'!$I$3:$I$26)</f>
        <v>159.43</v>
      </c>
      <c r="D34" s="11">
        <f>IF('Caixa Individual'!$C34&lt;Dados!$J$3,Dados!$J$3-'Caixa Individual'!$C34,"OK")</f>
        <v>412.57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12" t="str">
        <f>IF(Dados!A32="","",Dados!A32)</f>
        <v>Natalia Massari</v>
      </c>
      <c r="C35" s="11">
        <f>SUMIF(Dados!$A$3:$A$36,Dados!A32,Dados!$H$3:$H$36) + SUMIF('Pagamento Individual'!$A$3:$A$26,Dados!A32,'Pagamento Individual'!$I$3:$I$26)</f>
        <v>124.33</v>
      </c>
      <c r="D35" s="11">
        <f>IF('Caixa Individual'!$C35&lt;Dados!$J$3,Dados!$J$3-'Caixa Individual'!$C35,"OK")</f>
        <v>447.67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12" t="str">
        <f>IF(Dados!A33="","",Dados!A33)</f>
        <v>Nestor Junior</v>
      </c>
      <c r="C36" s="11">
        <f>SUMIF(Dados!$A$3:$A$36,Dados!A33,Dados!$H$3:$H$36) + SUMIF('Pagamento Individual'!$A$3:$A$26,Dados!A33,'Pagamento Individual'!$I$3:$I$26)</f>
        <v>139.68</v>
      </c>
      <c r="D36" s="11">
        <f>IF('Caixa Individual'!$C36&lt;Dados!$J$3,Dados!$J$3-'Caixa Individual'!$C36,"OK")</f>
        <v>432.32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12" t="str">
        <f>IF(Dados!A34="","",Dados!A34)</f>
        <v>Rhafaela  Oliveira</v>
      </c>
      <c r="C37" s="11">
        <f>SUMIF(Dados!$A$3:$A$36,Dados!A34,Dados!$H$3:$H$36) + SUMIF('Pagamento Individual'!$A$3:$A$26,Dados!A34,'Pagamento Individual'!$I$3:$I$26)</f>
        <v>151.68</v>
      </c>
      <c r="D37" s="11">
        <f>IF('Caixa Individual'!$C37&lt;Dados!$J$3,Dados!$J$3-'Caixa Individual'!$C37,"OK")</f>
        <v>420.32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12" t="str">
        <f>IF(Dados!A35="","",Dados!A35)</f>
        <v>Yaron Büchler</v>
      </c>
      <c r="C38" s="11">
        <f>SUMIF(Dados!$A$3:$A$36,Dados!A35,Dados!$H$3:$H$36) + SUMIF('Pagamento Individual'!$A$3:$A$26,Dados!A35,'Pagamento Individual'!$I$3:$I$26)</f>
        <v>159.43</v>
      </c>
      <c r="D38" s="11">
        <f>IF('Caixa Individual'!$C38&lt;Dados!$J$3,Dados!$J$3-'Caixa Individual'!$C38,"OK")</f>
        <v>412.57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4:E4"/>
  </mergeCells>
  <conditionalFormatting sqref="D6:D38">
    <cfRule type="cellIs" dxfId="0" priority="1" operator="equal">
      <formula>"OK"</formula>
    </cfRule>
  </conditionalFormatting>
  <conditionalFormatting sqref="D6:D38">
    <cfRule type="cellIs" dxfId="1" priority="2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6.75"/>
    <col customWidth="1" min="3" max="3" width="8.63"/>
    <col customWidth="1" min="4" max="6" width="14.0"/>
    <col customWidth="1" min="7" max="7" width="15.5"/>
    <col customWidth="1" min="8" max="8" width="10.63"/>
    <col customWidth="1" min="9" max="10" width="14.13"/>
    <col customWidth="1" min="11" max="11" width="16.0"/>
    <col customWidth="1" min="12" max="13" width="10.38"/>
    <col customWidth="1" min="14" max="14" width="9.38"/>
    <col customWidth="1" min="15" max="26" width="8.63"/>
  </cols>
  <sheetData>
    <row r="2">
      <c r="A2" s="15" t="s">
        <v>1</v>
      </c>
      <c r="B2" s="15" t="s">
        <v>7</v>
      </c>
      <c r="C2" s="15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5" t="s">
        <v>13</v>
      </c>
      <c r="J2" s="15" t="s">
        <v>14</v>
      </c>
      <c r="M2" s="17"/>
    </row>
    <row r="3">
      <c r="A3" s="15" t="s">
        <v>15</v>
      </c>
      <c r="B3" s="18" t="s">
        <v>16</v>
      </c>
      <c r="C3" s="19" t="s">
        <v>17</v>
      </c>
      <c r="D3" s="17">
        <v>100.0</v>
      </c>
      <c r="E3" s="17">
        <v>50.0</v>
      </c>
      <c r="F3" s="17"/>
      <c r="G3" s="17"/>
      <c r="H3" s="17">
        <f>SUM(Dados!$C3:$G3)</f>
        <v>150</v>
      </c>
      <c r="I3" s="17"/>
      <c r="J3" s="17">
        <v>572.0</v>
      </c>
      <c r="K3" s="17"/>
    </row>
    <row r="4">
      <c r="A4" s="15" t="s">
        <v>18</v>
      </c>
      <c r="B4" s="18" t="s">
        <v>19</v>
      </c>
      <c r="C4" s="19" t="s">
        <v>17</v>
      </c>
      <c r="D4" s="17">
        <v>100.0</v>
      </c>
      <c r="E4" s="17">
        <v>38.25</v>
      </c>
      <c r="F4" s="17"/>
      <c r="G4" s="17"/>
      <c r="H4" s="17">
        <f>SUM(Dados!$C4:$G4)</f>
        <v>138.25</v>
      </c>
      <c r="I4" s="17"/>
    </row>
    <row r="5">
      <c r="A5" s="15" t="s">
        <v>20</v>
      </c>
      <c r="B5" s="18" t="s">
        <v>21</v>
      </c>
      <c r="C5" s="19" t="s">
        <v>17</v>
      </c>
      <c r="D5" s="17">
        <v>150.0</v>
      </c>
      <c r="E5" s="17">
        <v>100.0</v>
      </c>
      <c r="F5" s="17">
        <v>50.0</v>
      </c>
      <c r="G5" s="17"/>
      <c r="H5" s="17">
        <f>SUM(Dados!$C5:$G5)</f>
        <v>300</v>
      </c>
      <c r="I5" s="17"/>
    </row>
    <row r="6">
      <c r="A6" s="15" t="s">
        <v>22</v>
      </c>
      <c r="B6" s="18" t="s">
        <v>23</v>
      </c>
      <c r="C6" s="19" t="s">
        <v>24</v>
      </c>
      <c r="D6" s="17">
        <v>150.0</v>
      </c>
      <c r="E6" s="17">
        <v>50.0</v>
      </c>
      <c r="F6" s="17"/>
      <c r="G6" s="17"/>
      <c r="H6" s="17">
        <f>SUM(Dados!$C6:$G6)</f>
        <v>200</v>
      </c>
      <c r="I6" s="17"/>
    </row>
    <row r="7">
      <c r="A7" s="15" t="s">
        <v>25</v>
      </c>
      <c r="B7" s="18" t="s">
        <v>26</v>
      </c>
      <c r="C7" s="19" t="s">
        <v>17</v>
      </c>
      <c r="D7" s="17">
        <v>50.0</v>
      </c>
      <c r="E7" s="17">
        <f>50+50+9.43</f>
        <v>109.43</v>
      </c>
      <c r="F7" s="17"/>
      <c r="G7" s="17"/>
      <c r="H7" s="17">
        <f>SUM(Dados!$C7:$G7)</f>
        <v>159.43</v>
      </c>
      <c r="I7" s="17"/>
    </row>
    <row r="8">
      <c r="A8" s="15" t="s">
        <v>27</v>
      </c>
      <c r="B8" s="18" t="s">
        <v>28</v>
      </c>
      <c r="C8" s="19" t="s">
        <v>17</v>
      </c>
      <c r="D8" s="17">
        <v>100.0</v>
      </c>
      <c r="E8" s="17">
        <f>50+9.43</f>
        <v>59.43</v>
      </c>
      <c r="F8" s="17"/>
      <c r="G8" s="17"/>
      <c r="H8" s="17">
        <f>SUM(Dados!$C8:$G8)</f>
        <v>159.43</v>
      </c>
      <c r="I8" s="17"/>
    </row>
    <row r="9">
      <c r="A9" s="15" t="s">
        <v>29</v>
      </c>
      <c r="B9" s="18" t="s">
        <v>30</v>
      </c>
      <c r="C9" s="19" t="s">
        <v>24</v>
      </c>
      <c r="D9" s="17">
        <v>150.0</v>
      </c>
      <c r="E9" s="17">
        <f>9.43</f>
        <v>9.43</v>
      </c>
      <c r="F9" s="17"/>
      <c r="G9" s="17"/>
      <c r="H9" s="17">
        <f>SUM(Dados!$C9:$G9)</f>
        <v>159.43</v>
      </c>
      <c r="I9" s="17"/>
    </row>
    <row r="10">
      <c r="A10" s="15" t="s">
        <v>31</v>
      </c>
      <c r="B10" s="18" t="s">
        <v>32</v>
      </c>
      <c r="C10" s="19" t="s">
        <v>17</v>
      </c>
      <c r="D10" s="17">
        <v>100.0</v>
      </c>
      <c r="E10" s="17">
        <f>9.43+50</f>
        <v>59.43</v>
      </c>
      <c r="F10" s="17"/>
      <c r="G10" s="17"/>
      <c r="H10" s="17">
        <f>SUM(Dados!$C10:$G10)</f>
        <v>159.43</v>
      </c>
      <c r="I10" s="17"/>
    </row>
    <row r="11">
      <c r="A11" s="15" t="s">
        <v>33</v>
      </c>
      <c r="B11" s="18" t="s">
        <v>34</v>
      </c>
      <c r="C11" s="19" t="s">
        <v>24</v>
      </c>
      <c r="D11" s="17">
        <v>150.0</v>
      </c>
      <c r="E11" s="17">
        <f>9.43+39</f>
        <v>48.43</v>
      </c>
      <c r="F11" s="17"/>
      <c r="G11" s="17"/>
      <c r="H11" s="17">
        <f>SUM(Dados!$C11:$G11)</f>
        <v>198.43</v>
      </c>
      <c r="I11" s="17"/>
    </row>
    <row r="12">
      <c r="A12" s="15" t="s">
        <v>35</v>
      </c>
      <c r="B12" s="18" t="s">
        <v>36</v>
      </c>
      <c r="C12" s="19" t="s">
        <v>24</v>
      </c>
      <c r="D12" s="17">
        <v>150.0</v>
      </c>
      <c r="E12" s="17">
        <v>50.0</v>
      </c>
      <c r="F12" s="17"/>
      <c r="G12" s="17"/>
      <c r="H12" s="17">
        <f>SUM(Dados!$C12:$G12)</f>
        <v>200</v>
      </c>
      <c r="I12" s="17"/>
    </row>
    <row r="13">
      <c r="A13" s="15" t="s">
        <v>37</v>
      </c>
      <c r="B13" s="18" t="s">
        <v>38</v>
      </c>
      <c r="C13" s="19" t="s">
        <v>17</v>
      </c>
      <c r="D13" s="17">
        <v>100.0</v>
      </c>
      <c r="E13" s="17">
        <v>50.0</v>
      </c>
      <c r="F13" s="17"/>
      <c r="G13" s="17"/>
      <c r="H13" s="17">
        <f>SUM(Dados!$C13:$G13)</f>
        <v>150</v>
      </c>
      <c r="I13" s="17"/>
    </row>
    <row r="14">
      <c r="A14" s="15" t="s">
        <v>39</v>
      </c>
      <c r="B14" s="18" t="s">
        <v>40</v>
      </c>
      <c r="C14" s="19" t="s">
        <v>17</v>
      </c>
      <c r="D14" s="17">
        <v>100.0</v>
      </c>
      <c r="E14" s="17">
        <f>9.43+50</f>
        <v>59.43</v>
      </c>
      <c r="F14" s="17"/>
      <c r="G14" s="17"/>
      <c r="H14" s="17">
        <f>SUM(Dados!$C14:$G14)</f>
        <v>159.43</v>
      </c>
      <c r="I14" s="17"/>
    </row>
    <row r="15">
      <c r="A15" s="15" t="s">
        <v>41</v>
      </c>
      <c r="B15" s="18" t="s">
        <v>42</v>
      </c>
      <c r="C15" s="19" t="s">
        <v>17</v>
      </c>
      <c r="D15" s="17">
        <v>100.0</v>
      </c>
      <c r="E15" s="17">
        <f>9.43+40+10</f>
        <v>59.43</v>
      </c>
      <c r="F15" s="17"/>
      <c r="G15" s="17"/>
      <c r="H15" s="17">
        <f>SUM(Dados!$C15:$G15)</f>
        <v>159.43</v>
      </c>
      <c r="I15" s="17"/>
    </row>
    <row r="16">
      <c r="A16" s="15" t="s">
        <v>43</v>
      </c>
      <c r="B16" s="18" t="s">
        <v>44</v>
      </c>
      <c r="C16" s="19" t="s">
        <v>24</v>
      </c>
      <c r="D16" s="17">
        <v>150.0</v>
      </c>
      <c r="E16" s="17">
        <v>114.9</v>
      </c>
      <c r="F16" s="17">
        <v>50.0</v>
      </c>
      <c r="G16" s="17">
        <v>96.9444444444444</v>
      </c>
      <c r="H16" s="17">
        <f>SUM(Dados!$C16:$G16)</f>
        <v>411.8444444</v>
      </c>
      <c r="I16" s="17"/>
    </row>
    <row r="17">
      <c r="A17" s="15" t="s">
        <v>45</v>
      </c>
      <c r="B17" s="18" t="s">
        <v>46</v>
      </c>
      <c r="C17" s="19" t="s">
        <v>17</v>
      </c>
      <c r="D17" s="17">
        <v>100.0</v>
      </c>
      <c r="E17" s="17">
        <v>50.0</v>
      </c>
      <c r="F17" s="17"/>
      <c r="G17" s="17"/>
      <c r="H17" s="17">
        <f>SUM(Dados!$C17:$G17)</f>
        <v>150</v>
      </c>
      <c r="I17" s="17"/>
    </row>
    <row r="18">
      <c r="A18" s="15" t="s">
        <v>47</v>
      </c>
      <c r="B18" s="18" t="s">
        <v>48</v>
      </c>
      <c r="C18" s="19" t="s">
        <v>17</v>
      </c>
      <c r="D18" s="17">
        <v>100.0</v>
      </c>
      <c r="E18" s="17">
        <f>9.43+38.25</f>
        <v>47.68</v>
      </c>
      <c r="F18" s="17"/>
      <c r="G18" s="17"/>
      <c r="H18" s="17">
        <f>SUM(Dados!$C18:$G18)</f>
        <v>147.68</v>
      </c>
      <c r="I18" s="17"/>
    </row>
    <row r="19">
      <c r="A19" s="15" t="s">
        <v>49</v>
      </c>
      <c r="B19" s="18" t="s">
        <v>50</v>
      </c>
      <c r="C19" s="19" t="s">
        <v>17</v>
      </c>
      <c r="D19" s="17">
        <v>100.0</v>
      </c>
      <c r="E19" s="17">
        <f>9.43+50</f>
        <v>59.43</v>
      </c>
      <c r="F19" s="17"/>
      <c r="G19" s="17"/>
      <c r="H19" s="17">
        <f>SUM(Dados!$C19:$G19)</f>
        <v>159.43</v>
      </c>
      <c r="I19" s="17"/>
    </row>
    <row r="20">
      <c r="A20" s="15" t="s">
        <v>51</v>
      </c>
      <c r="B20" s="18" t="s">
        <v>52</v>
      </c>
      <c r="C20" s="19" t="s">
        <v>17</v>
      </c>
      <c r="D20" s="17">
        <v>100.0</v>
      </c>
      <c r="E20" s="17">
        <f>9.43+38.25</f>
        <v>47.68</v>
      </c>
      <c r="F20" s="17"/>
      <c r="G20" s="17"/>
      <c r="H20" s="17">
        <f>SUM(Dados!$C20:$G20)</f>
        <v>147.68</v>
      </c>
      <c r="I20" s="17"/>
    </row>
    <row r="21" ht="15.75" customHeight="1">
      <c r="A21" s="15" t="s">
        <v>53</v>
      </c>
      <c r="B21" s="18" t="s">
        <v>54</v>
      </c>
      <c r="C21" s="19" t="s">
        <v>24</v>
      </c>
      <c r="D21" s="17" t="s">
        <v>55</v>
      </c>
      <c r="E21" s="17">
        <f>9.43</f>
        <v>9.43</v>
      </c>
      <c r="F21" s="17">
        <v>28.0</v>
      </c>
      <c r="G21" s="17"/>
      <c r="H21" s="17">
        <f>SUM(Dados!$C21:$G21)</f>
        <v>37.43</v>
      </c>
      <c r="I21" s="17"/>
    </row>
    <row r="22" ht="15.75" customHeight="1">
      <c r="A22" s="15" t="s">
        <v>56</v>
      </c>
      <c r="B22" s="18" t="s">
        <v>57</v>
      </c>
      <c r="C22" s="19" t="s">
        <v>24</v>
      </c>
      <c r="D22" s="17">
        <v>114.9</v>
      </c>
      <c r="E22" s="17"/>
      <c r="F22" s="17"/>
      <c r="G22" s="17"/>
      <c r="H22" s="17">
        <f>SUM(Dados!$C22:$G22)</f>
        <v>114.9</v>
      </c>
    </row>
    <row r="23" ht="15.75" customHeight="1">
      <c r="A23" s="15" t="s">
        <v>58</v>
      </c>
      <c r="B23" s="18" t="s">
        <v>59</v>
      </c>
      <c r="C23" s="19" t="s">
        <v>24</v>
      </c>
      <c r="D23" s="17">
        <v>150.0</v>
      </c>
      <c r="E23" s="17">
        <v>50.0</v>
      </c>
      <c r="F23" s="17"/>
      <c r="G23" s="17"/>
      <c r="H23" s="17">
        <f>SUM(Dados!$C23:$G23)</f>
        <v>200</v>
      </c>
    </row>
    <row r="24" ht="15.75" customHeight="1">
      <c r="A24" s="15" t="s">
        <v>60</v>
      </c>
      <c r="B24" s="18" t="s">
        <v>61</v>
      </c>
      <c r="C24" s="19" t="s">
        <v>24</v>
      </c>
      <c r="D24" s="17">
        <v>150.0</v>
      </c>
      <c r="E24" s="17">
        <v>50.0</v>
      </c>
      <c r="F24" s="17"/>
      <c r="G24" s="17"/>
      <c r="H24" s="17">
        <f>SUM(Dados!$C24:$G24)</f>
        <v>200</v>
      </c>
    </row>
    <row r="25" ht="15.75" customHeight="1">
      <c r="A25" s="15" t="s">
        <v>62</v>
      </c>
      <c r="B25" s="18" t="s">
        <v>63</v>
      </c>
      <c r="C25" s="19" t="s">
        <v>24</v>
      </c>
      <c r="D25" s="17" t="s">
        <v>55</v>
      </c>
      <c r="E25" s="17">
        <f>9.43</f>
        <v>9.43</v>
      </c>
      <c r="F25" s="17"/>
      <c r="G25" s="17"/>
      <c r="H25" s="17">
        <f>SUM(Dados!$C25:$G25)</f>
        <v>9.43</v>
      </c>
    </row>
    <row r="26" ht="15.75" customHeight="1">
      <c r="A26" s="15" t="s">
        <v>64</v>
      </c>
      <c r="B26" s="18" t="s">
        <v>65</v>
      </c>
      <c r="C26" s="19" t="s">
        <v>24</v>
      </c>
      <c r="D26" s="17">
        <v>150.0</v>
      </c>
      <c r="E26" s="17">
        <f>9.43+50</f>
        <v>59.43</v>
      </c>
      <c r="F26" s="17"/>
      <c r="G26" s="17"/>
      <c r="H26" s="17">
        <f>SUM(Dados!$C26:$G26)</f>
        <v>209.43</v>
      </c>
    </row>
    <row r="27" ht="15.75" customHeight="1">
      <c r="A27" s="15" t="s">
        <v>66</v>
      </c>
      <c r="B27" s="18" t="s">
        <v>67</v>
      </c>
      <c r="C27" s="19" t="s">
        <v>24</v>
      </c>
      <c r="D27" s="17"/>
      <c r="E27" s="17"/>
      <c r="F27" s="17"/>
      <c r="G27" s="17"/>
      <c r="H27" s="17">
        <f>SUM(Dados!$C27:$G27)</f>
        <v>0</v>
      </c>
    </row>
    <row r="28" ht="15.75" customHeight="1">
      <c r="A28" s="15" t="s">
        <v>68</v>
      </c>
      <c r="B28" s="18" t="s">
        <v>69</v>
      </c>
      <c r="C28" s="19" t="s">
        <v>24</v>
      </c>
      <c r="D28" s="17">
        <v>150.0</v>
      </c>
      <c r="E28" s="17">
        <v>50.0</v>
      </c>
      <c r="F28" s="17"/>
      <c r="G28" s="17"/>
      <c r="H28" s="17">
        <f>SUM(Dados!$C28:$G28)</f>
        <v>200</v>
      </c>
    </row>
    <row r="29" ht="15.75" customHeight="1">
      <c r="A29" s="15" t="s">
        <v>70</v>
      </c>
      <c r="B29" s="18" t="s">
        <v>71</v>
      </c>
      <c r="C29" s="19" t="s">
        <v>17</v>
      </c>
      <c r="D29" s="17">
        <v>150.0</v>
      </c>
      <c r="E29" s="17">
        <v>100.0</v>
      </c>
      <c r="F29" s="17">
        <v>50.0</v>
      </c>
      <c r="G29" s="17"/>
      <c r="H29" s="17">
        <f>SUM(Dados!$C29:$G29)</f>
        <v>300</v>
      </c>
      <c r="Q29" s="17"/>
    </row>
    <row r="30" ht="15.75" customHeight="1">
      <c r="A30" s="15" t="s">
        <v>72</v>
      </c>
      <c r="B30" s="18" t="s">
        <v>73</v>
      </c>
      <c r="C30" s="19" t="s">
        <v>17</v>
      </c>
      <c r="D30" s="17">
        <v>100.0</v>
      </c>
      <c r="E30" s="17">
        <f t="shared" ref="E30:E31" si="1">9.43+50</f>
        <v>59.43</v>
      </c>
      <c r="F30" s="17"/>
      <c r="G30" s="17"/>
      <c r="H30" s="17">
        <f>SUM(Dados!$C30:$G30)</f>
        <v>159.43</v>
      </c>
    </row>
    <row r="31" ht="15.75" customHeight="1">
      <c r="A31" s="15" t="s">
        <v>74</v>
      </c>
      <c r="B31" s="18" t="s">
        <v>75</v>
      </c>
      <c r="C31" s="19" t="s">
        <v>17</v>
      </c>
      <c r="D31" s="17">
        <v>100.0</v>
      </c>
      <c r="E31" s="17">
        <f t="shared" si="1"/>
        <v>59.43</v>
      </c>
      <c r="F31" s="17"/>
      <c r="G31" s="17"/>
      <c r="H31" s="17">
        <f>SUM(Dados!$C31:$G31)</f>
        <v>159.43</v>
      </c>
    </row>
    <row r="32" ht="15.75" customHeight="1">
      <c r="A32" s="15" t="s">
        <v>76</v>
      </c>
      <c r="B32" s="18" t="s">
        <v>77</v>
      </c>
      <c r="C32" s="19" t="s">
        <v>24</v>
      </c>
      <c r="D32" s="17">
        <v>114.9</v>
      </c>
      <c r="E32" s="17">
        <f>9.43</f>
        <v>9.43</v>
      </c>
      <c r="F32" s="17"/>
      <c r="G32" s="17"/>
      <c r="H32" s="17">
        <f>SUM(Dados!$C32:$G32)</f>
        <v>124.33</v>
      </c>
    </row>
    <row r="33" ht="15.75" customHeight="1">
      <c r="A33" s="15" t="s">
        <v>78</v>
      </c>
      <c r="B33" s="18" t="s">
        <v>79</v>
      </c>
      <c r="C33" s="19" t="s">
        <v>24</v>
      </c>
      <c r="D33" s="17">
        <f>92</f>
        <v>92</v>
      </c>
      <c r="E33" s="17">
        <f>9.43+38.25</f>
        <v>47.68</v>
      </c>
      <c r="F33" s="17"/>
      <c r="G33" s="17"/>
      <c r="H33" s="17">
        <f>SUM(Dados!$C33:$G33)</f>
        <v>139.68</v>
      </c>
    </row>
    <row r="34" ht="15.75" customHeight="1">
      <c r="A34" s="15" t="s">
        <v>80</v>
      </c>
      <c r="B34" s="18" t="s">
        <v>81</v>
      </c>
      <c r="C34" s="19" t="s">
        <v>17</v>
      </c>
      <c r="D34" s="17">
        <f>6+2+24+4+10+58</f>
        <v>104</v>
      </c>
      <c r="E34" s="17">
        <f>9.43</f>
        <v>9.43</v>
      </c>
      <c r="F34" s="17">
        <v>38.25</v>
      </c>
      <c r="G34" s="17"/>
      <c r="H34" s="17">
        <f>SUM(Dados!$C34:$G34)</f>
        <v>151.68</v>
      </c>
    </row>
    <row r="35" ht="15.75" customHeight="1">
      <c r="A35" s="15" t="s">
        <v>82</v>
      </c>
      <c r="B35" s="18" t="s">
        <v>83</v>
      </c>
      <c r="C35" s="19" t="s">
        <v>17</v>
      </c>
      <c r="D35" s="17">
        <v>100.0</v>
      </c>
      <c r="E35" s="17">
        <f>9.43+50</f>
        <v>59.43</v>
      </c>
      <c r="F35" s="17"/>
      <c r="G35" s="17"/>
      <c r="H35" s="17">
        <f>SUM(Dados!$C35:$G35)</f>
        <v>159.43</v>
      </c>
    </row>
    <row r="36" ht="15.75" customHeight="1">
      <c r="C36" s="15"/>
      <c r="H36" s="15">
        <f>SUM(Dados!$C36:$G36)</f>
        <v>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36">
      <formula1>"Immortals,Phoenix,Extra"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3" width="6.88"/>
    <col customWidth="1" min="4" max="4" width="25.88"/>
    <col customWidth="1" min="5" max="7" width="17.0"/>
    <col customWidth="1" min="8" max="8" width="15.63"/>
    <col customWidth="1" min="9" max="9" width="18.38"/>
    <col customWidth="1" min="10" max="10" width="10.13"/>
    <col customWidth="1" min="11" max="11" width="15.13"/>
    <col customWidth="1" min="12" max="12" width="10.63"/>
    <col customWidth="1" min="13" max="14" width="8.63"/>
    <col customWidth="1" min="15" max="15" width="31.75"/>
    <col customWidth="1" min="16" max="16" width="22.38"/>
    <col customWidth="1" min="17" max="17" width="12.63"/>
    <col customWidth="1" min="18" max="18" width="10.13"/>
    <col customWidth="1" min="19" max="19" width="12.63"/>
    <col customWidth="1" min="20" max="22" width="10.13"/>
    <col customWidth="1" min="23" max="26" width="8.63"/>
  </cols>
  <sheetData>
    <row r="2">
      <c r="A2" s="20" t="s">
        <v>1</v>
      </c>
      <c r="B2" s="20" t="s">
        <v>7</v>
      </c>
      <c r="C2" s="20" t="s">
        <v>8</v>
      </c>
      <c r="D2" s="21" t="s">
        <v>84</v>
      </c>
      <c r="E2" s="22" t="s">
        <v>85</v>
      </c>
      <c r="F2" s="22" t="s">
        <v>86</v>
      </c>
      <c r="G2" s="22" t="s">
        <v>87</v>
      </c>
      <c r="H2" s="22" t="s">
        <v>88</v>
      </c>
      <c r="I2" s="21" t="s">
        <v>89</v>
      </c>
      <c r="J2" s="23" t="s">
        <v>90</v>
      </c>
      <c r="O2" s="15" t="s">
        <v>91</v>
      </c>
    </row>
    <row r="3">
      <c r="A3" s="15" t="s">
        <v>15</v>
      </c>
      <c r="B3" s="18" t="s">
        <v>16</v>
      </c>
      <c r="C3" s="19" t="s">
        <v>17</v>
      </c>
      <c r="D3" s="24" t="s">
        <v>92</v>
      </c>
      <c r="E3" s="25"/>
      <c r="F3" s="25"/>
      <c r="G3" s="25"/>
      <c r="H3" s="25"/>
      <c r="I3" s="25">
        <f>SUM('Pagamento Individual'!$E3:$H3)</f>
        <v>0</v>
      </c>
      <c r="J3" s="26">
        <f>VLOOKUP('Pagamento Individual'!$A3,'Caixa Individual'!$B$6:$D$38,3,FALSE())</f>
        <v>422</v>
      </c>
      <c r="O3" s="15" t="s">
        <v>1</v>
      </c>
      <c r="P3" s="15" t="s">
        <v>84</v>
      </c>
      <c r="Q3" s="15" t="s">
        <v>93</v>
      </c>
      <c r="R3" s="15" t="s">
        <v>94</v>
      </c>
      <c r="S3" s="15" t="s">
        <v>95</v>
      </c>
      <c r="T3" s="15" t="s">
        <v>96</v>
      </c>
      <c r="U3" s="15" t="s">
        <v>89</v>
      </c>
      <c r="V3" s="15" t="s">
        <v>90</v>
      </c>
    </row>
    <row r="4">
      <c r="A4" s="15" t="s">
        <v>18</v>
      </c>
      <c r="B4" s="18" t="s">
        <v>19</v>
      </c>
      <c r="C4" s="19" t="s">
        <v>17</v>
      </c>
      <c r="D4" s="24" t="s">
        <v>97</v>
      </c>
      <c r="E4" s="25"/>
      <c r="F4" s="25"/>
      <c r="G4" s="25"/>
      <c r="H4" s="25"/>
      <c r="I4" s="25">
        <f>SUM('Pagamento Individual'!$E4:$H4)</f>
        <v>0</v>
      </c>
      <c r="J4" s="26">
        <f>VLOOKUP('Pagamento Individual'!$A4,'Caixa Individual'!$B$6:$D$38,3,FALSE())</f>
        <v>433.75</v>
      </c>
      <c r="O4" s="15" t="s">
        <v>98</v>
      </c>
      <c r="P4" s="15" t="s">
        <v>92</v>
      </c>
      <c r="Q4" s="15">
        <v>0.0</v>
      </c>
      <c r="U4" s="15">
        <v>0.0</v>
      </c>
      <c r="V4" s="15" t="str">
        <f t="shared" ref="V4:V11" si="1">#N/A</f>
        <v>#N/A</v>
      </c>
    </row>
    <row r="5">
      <c r="A5" s="15" t="s">
        <v>20</v>
      </c>
      <c r="B5" s="18" t="s">
        <v>21</v>
      </c>
      <c r="C5" s="19" t="s">
        <v>17</v>
      </c>
      <c r="D5" s="24" t="s">
        <v>92</v>
      </c>
      <c r="E5" s="25"/>
      <c r="F5" s="25"/>
      <c r="G5" s="25"/>
      <c r="H5" s="25"/>
      <c r="I5" s="25">
        <f>SUM('Pagamento Individual'!$E5:$H5)</f>
        <v>0</v>
      </c>
      <c r="J5" s="26">
        <f>VLOOKUP('Pagamento Individual'!$A5,'Caixa Individual'!$B$6:$D$38,3,FALSE())</f>
        <v>272</v>
      </c>
      <c r="O5" s="15" t="s">
        <v>99</v>
      </c>
      <c r="P5" s="15" t="s">
        <v>92</v>
      </c>
      <c r="Q5" s="15" t="s">
        <v>100</v>
      </c>
      <c r="U5" s="15">
        <v>0.0</v>
      </c>
      <c r="V5" s="15" t="str">
        <f t="shared" si="1"/>
        <v>#N/A</v>
      </c>
    </row>
    <row r="6">
      <c r="A6" s="15" t="s">
        <v>25</v>
      </c>
      <c r="B6" s="18" t="s">
        <v>26</v>
      </c>
      <c r="C6" s="19" t="s">
        <v>17</v>
      </c>
      <c r="D6" s="24" t="s">
        <v>97</v>
      </c>
      <c r="E6" s="25">
        <v>90.0</v>
      </c>
      <c r="F6" s="25"/>
      <c r="G6" s="25"/>
      <c r="H6" s="25"/>
      <c r="I6" s="25">
        <f>SUM('Pagamento Individual'!$E6:$H6)</f>
        <v>90</v>
      </c>
      <c r="J6" s="26">
        <f>VLOOKUP('Pagamento Individual'!$A6,'Caixa Individual'!$B$6:$D$38,3,FALSE())</f>
        <v>322.57</v>
      </c>
      <c r="O6" s="15" t="s">
        <v>101</v>
      </c>
      <c r="P6" s="15" t="s">
        <v>92</v>
      </c>
      <c r="U6" s="15">
        <v>0.0</v>
      </c>
      <c r="V6" s="15" t="str">
        <f t="shared" si="1"/>
        <v>#N/A</v>
      </c>
    </row>
    <row r="7">
      <c r="A7" s="15" t="s">
        <v>27</v>
      </c>
      <c r="B7" s="18" t="s">
        <v>28</v>
      </c>
      <c r="C7" s="19" t="s">
        <v>17</v>
      </c>
      <c r="D7" s="24" t="s">
        <v>92</v>
      </c>
      <c r="E7" s="25">
        <v>412.57</v>
      </c>
      <c r="F7" s="25"/>
      <c r="G7" s="25"/>
      <c r="H7" s="25"/>
      <c r="I7" s="25">
        <f>SUM('Pagamento Individual'!$E7:$H7)</f>
        <v>412.57</v>
      </c>
      <c r="J7" s="26" t="str">
        <f>VLOOKUP('Pagamento Individual'!$A7,'Caixa Individual'!$B$6:$D$38,3,FALSE())</f>
        <v>OK</v>
      </c>
      <c r="O7" s="15" t="s">
        <v>102</v>
      </c>
      <c r="P7" s="15" t="s">
        <v>92</v>
      </c>
      <c r="Q7" s="15">
        <v>0.0</v>
      </c>
      <c r="U7" s="15">
        <v>0.0</v>
      </c>
      <c r="V7" s="15" t="str">
        <f t="shared" si="1"/>
        <v>#N/A</v>
      </c>
    </row>
    <row r="8">
      <c r="A8" s="15" t="s">
        <v>31</v>
      </c>
      <c r="B8" s="18" t="s">
        <v>32</v>
      </c>
      <c r="C8" s="19" t="s">
        <v>17</v>
      </c>
      <c r="D8" s="24" t="s">
        <v>97</v>
      </c>
      <c r="E8" s="25"/>
      <c r="F8" s="25"/>
      <c r="G8" s="25"/>
      <c r="H8" s="25"/>
      <c r="I8" s="25">
        <f>SUM('Pagamento Individual'!$E8:$H8)</f>
        <v>0</v>
      </c>
      <c r="J8" s="26">
        <f>VLOOKUP('Pagamento Individual'!$A8,'Caixa Individual'!$B$6:$D$38,3,FALSE())</f>
        <v>412.57</v>
      </c>
      <c r="O8" s="15" t="s">
        <v>103</v>
      </c>
      <c r="P8" s="15" t="s">
        <v>92</v>
      </c>
      <c r="Q8" s="15">
        <v>200.0</v>
      </c>
      <c r="U8" s="15">
        <v>200.0</v>
      </c>
      <c r="V8" s="15" t="str">
        <f t="shared" si="1"/>
        <v>#N/A</v>
      </c>
    </row>
    <row r="9">
      <c r="A9" s="15" t="s">
        <v>33</v>
      </c>
      <c r="B9" s="18" t="s">
        <v>34</v>
      </c>
      <c r="C9" s="19" t="s">
        <v>24</v>
      </c>
      <c r="D9" s="24" t="s">
        <v>92</v>
      </c>
      <c r="E9" s="25"/>
      <c r="F9" s="25"/>
      <c r="G9" s="25"/>
      <c r="H9" s="25"/>
      <c r="I9" s="25">
        <f>SUM('Pagamento Individual'!$E9:$H9)</f>
        <v>0</v>
      </c>
      <c r="J9" s="26">
        <f>VLOOKUP('Pagamento Individual'!$A9,'Caixa Individual'!$B$6:$D$38,3,FALSE())</f>
        <v>373.57</v>
      </c>
      <c r="O9" s="15" t="s">
        <v>104</v>
      </c>
      <c r="P9" s="15" t="s">
        <v>92</v>
      </c>
      <c r="Q9" s="15">
        <v>0.0</v>
      </c>
      <c r="U9" s="15">
        <v>0.0</v>
      </c>
      <c r="V9" s="15" t="str">
        <f t="shared" si="1"/>
        <v>#N/A</v>
      </c>
    </row>
    <row r="10">
      <c r="A10" s="15" t="s">
        <v>41</v>
      </c>
      <c r="B10" s="18" t="s">
        <v>42</v>
      </c>
      <c r="C10" s="19" t="s">
        <v>17</v>
      </c>
      <c r="D10" s="24" t="s">
        <v>97</v>
      </c>
      <c r="E10" s="25"/>
      <c r="F10" s="25"/>
      <c r="G10" s="25"/>
      <c r="H10" s="25"/>
      <c r="I10" s="25">
        <f>SUM('Pagamento Individual'!$E10:$H10)</f>
        <v>0</v>
      </c>
      <c r="J10" s="26">
        <f>VLOOKUP('Pagamento Individual'!$A10,'Caixa Individual'!$B$6:$D$38,3,FALSE())</f>
        <v>412.57</v>
      </c>
      <c r="O10" s="15" t="s">
        <v>105</v>
      </c>
      <c r="P10" s="15" t="s">
        <v>92</v>
      </c>
      <c r="Q10" s="15">
        <v>100.0</v>
      </c>
      <c r="U10" s="15">
        <v>100.0</v>
      </c>
      <c r="V10" s="15" t="str">
        <f t="shared" si="1"/>
        <v>#N/A</v>
      </c>
    </row>
    <row r="11">
      <c r="A11" s="15" t="s">
        <v>43</v>
      </c>
      <c r="B11" s="18" t="s">
        <v>44</v>
      </c>
      <c r="C11" s="19" t="s">
        <v>24</v>
      </c>
      <c r="D11" s="24" t="s">
        <v>97</v>
      </c>
      <c r="E11" s="25"/>
      <c r="F11" s="25"/>
      <c r="G11" s="25"/>
      <c r="H11" s="25"/>
      <c r="I11" s="25">
        <f>SUM('Pagamento Individual'!$E11:$H11)</f>
        <v>0</v>
      </c>
      <c r="J11" s="26">
        <f>VLOOKUP('Pagamento Individual'!$A11,'Caixa Individual'!$B$6:$D$38,3,FALSE())</f>
        <v>160.1555556</v>
      </c>
      <c r="O11" s="15" t="s">
        <v>106</v>
      </c>
      <c r="P11" s="15" t="s">
        <v>92</v>
      </c>
      <c r="Q11" s="15" t="s">
        <v>100</v>
      </c>
      <c r="U11" s="15">
        <v>0.0</v>
      </c>
      <c r="V11" s="15" t="str">
        <f t="shared" si="1"/>
        <v>#N/A</v>
      </c>
    </row>
    <row r="12">
      <c r="A12" s="15" t="s">
        <v>45</v>
      </c>
      <c r="B12" s="18" t="s">
        <v>46</v>
      </c>
      <c r="C12" s="19" t="s">
        <v>17</v>
      </c>
      <c r="D12" s="24" t="s">
        <v>97</v>
      </c>
      <c r="E12" s="25"/>
      <c r="F12" s="25"/>
      <c r="G12" s="25"/>
      <c r="H12" s="25"/>
      <c r="I12" s="25">
        <f>SUM('Pagamento Individual'!$E12:$H12)</f>
        <v>0</v>
      </c>
      <c r="J12" s="26">
        <f>VLOOKUP('Pagamento Individual'!$A12,'Caixa Individual'!$B$6:$D$38,3,FALSE())</f>
        <v>422</v>
      </c>
      <c r="O12" s="15" t="s">
        <v>76</v>
      </c>
      <c r="P12" s="15" t="s">
        <v>92</v>
      </c>
      <c r="Q12" s="15">
        <v>0.0</v>
      </c>
      <c r="U12" s="15">
        <v>0.0</v>
      </c>
      <c r="V12" s="15">
        <v>447.67</v>
      </c>
    </row>
    <row r="13">
      <c r="A13" s="15" t="s">
        <v>49</v>
      </c>
      <c r="B13" s="18" t="s">
        <v>50</v>
      </c>
      <c r="C13" s="19" t="s">
        <v>17</v>
      </c>
      <c r="D13" s="24" t="s">
        <v>97</v>
      </c>
      <c r="E13" s="25"/>
      <c r="F13" s="25"/>
      <c r="G13" s="25"/>
      <c r="H13" s="25"/>
      <c r="I13" s="25">
        <f>SUM('Pagamento Individual'!$E13:$H13)</f>
        <v>0</v>
      </c>
      <c r="J13" s="26">
        <f>VLOOKUP('Pagamento Individual'!$A13,'Caixa Individual'!$B$6:$D$38,3,FALSE())</f>
        <v>412.57</v>
      </c>
      <c r="O13" s="15" t="s">
        <v>107</v>
      </c>
      <c r="P13" s="15" t="s">
        <v>97</v>
      </c>
      <c r="Q13" s="15">
        <v>0.0</v>
      </c>
      <c r="U13" s="15">
        <v>0.0</v>
      </c>
      <c r="V13" s="15" t="str">
        <f t="shared" ref="V13:V22" si="2">#N/A</f>
        <v>#N/A</v>
      </c>
    </row>
    <row r="14">
      <c r="A14" s="15" t="s">
        <v>51</v>
      </c>
      <c r="B14" s="18" t="s">
        <v>52</v>
      </c>
      <c r="C14" s="19" t="s">
        <v>17</v>
      </c>
      <c r="D14" s="24" t="s">
        <v>97</v>
      </c>
      <c r="E14" s="25"/>
      <c r="F14" s="25"/>
      <c r="G14" s="25"/>
      <c r="H14" s="25"/>
      <c r="I14" s="25">
        <f>SUM('Pagamento Individual'!$E14:$H14)</f>
        <v>0</v>
      </c>
      <c r="J14" s="26">
        <f>VLOOKUP('Pagamento Individual'!$A14,'Caixa Individual'!$B$6:$D$38,3,FALSE())</f>
        <v>424.32</v>
      </c>
      <c r="O14" s="15" t="s">
        <v>108</v>
      </c>
      <c r="P14" s="15" t="s">
        <v>97</v>
      </c>
      <c r="Q14" s="15">
        <v>90.0</v>
      </c>
      <c r="U14" s="15">
        <v>90.0</v>
      </c>
      <c r="V14" s="15" t="str">
        <f t="shared" si="2"/>
        <v>#N/A</v>
      </c>
    </row>
    <row r="15">
      <c r="A15" s="15" t="s">
        <v>53</v>
      </c>
      <c r="B15" s="18" t="s">
        <v>54</v>
      </c>
      <c r="C15" s="19" t="s">
        <v>24</v>
      </c>
      <c r="D15" s="24" t="s">
        <v>92</v>
      </c>
      <c r="E15" s="25"/>
      <c r="F15" s="25"/>
      <c r="G15" s="25"/>
      <c r="H15" s="25"/>
      <c r="I15" s="25">
        <f>SUM('Pagamento Individual'!$E15:$H15)</f>
        <v>0</v>
      </c>
      <c r="J15" s="26">
        <f>VLOOKUP('Pagamento Individual'!$A15,'Caixa Individual'!$B$6:$D$38,3,FALSE())</f>
        <v>534.57</v>
      </c>
      <c r="O15" s="15" t="s">
        <v>109</v>
      </c>
      <c r="P15" s="15" t="s">
        <v>97</v>
      </c>
      <c r="Q15" s="15">
        <v>0.0</v>
      </c>
      <c r="U15" s="15">
        <v>0.0</v>
      </c>
      <c r="V15" s="15" t="str">
        <f t="shared" si="2"/>
        <v>#N/A</v>
      </c>
    </row>
    <row r="16">
      <c r="A16" s="15" t="s">
        <v>56</v>
      </c>
      <c r="B16" s="18" t="s">
        <v>57</v>
      </c>
      <c r="C16" s="19" t="s">
        <v>24</v>
      </c>
      <c r="D16" s="24" t="s">
        <v>97</v>
      </c>
      <c r="E16" s="25"/>
      <c r="F16" s="25"/>
      <c r="G16" s="25"/>
      <c r="H16" s="25"/>
      <c r="I16" s="25">
        <f>SUM('Pagamento Individual'!$E16:$H16)</f>
        <v>0</v>
      </c>
      <c r="J16" s="26">
        <f>VLOOKUP('Pagamento Individual'!$A16,'Caixa Individual'!$B$6:$D$38,3,FALSE())</f>
        <v>457.1</v>
      </c>
      <c r="O16" s="15" t="s">
        <v>110</v>
      </c>
      <c r="P16" s="15" t="s">
        <v>97</v>
      </c>
      <c r="Q16" s="15">
        <v>100.0</v>
      </c>
      <c r="U16" s="15">
        <v>100.0</v>
      </c>
      <c r="V16" s="15" t="str">
        <f t="shared" si="2"/>
        <v>#N/A</v>
      </c>
    </row>
    <row r="17">
      <c r="A17" s="15" t="s">
        <v>58</v>
      </c>
      <c r="B17" s="18" t="s">
        <v>59</v>
      </c>
      <c r="C17" s="19" t="s">
        <v>24</v>
      </c>
      <c r="D17" s="27" t="s">
        <v>92</v>
      </c>
      <c r="E17" s="28"/>
      <c r="F17" s="28"/>
      <c r="G17" s="28"/>
      <c r="H17" s="28"/>
      <c r="I17" s="28">
        <f>SUM('Pagamento Individual'!$E17:$H17)</f>
        <v>0</v>
      </c>
      <c r="J17" s="26">
        <f>VLOOKUP('Pagamento Individual'!$A17,'Caixa Individual'!$B$6:$D$38,3,FALSE())</f>
        <v>372</v>
      </c>
      <c r="O17" s="15" t="s">
        <v>111</v>
      </c>
      <c r="P17" s="15" t="s">
        <v>97</v>
      </c>
      <c r="U17" s="15">
        <v>0.0</v>
      </c>
      <c r="V17" s="15" t="str">
        <f t="shared" si="2"/>
        <v>#N/A</v>
      </c>
    </row>
    <row r="18">
      <c r="A18" s="15" t="s">
        <v>60</v>
      </c>
      <c r="B18" s="18" t="s">
        <v>61</v>
      </c>
      <c r="C18" s="19" t="s">
        <v>24</v>
      </c>
      <c r="D18" s="27" t="s">
        <v>97</v>
      </c>
      <c r="E18" s="28"/>
      <c r="F18" s="28"/>
      <c r="G18" s="28"/>
      <c r="H18" s="28"/>
      <c r="I18" s="28">
        <f>SUM('Pagamento Individual'!$E18:$H18)</f>
        <v>0</v>
      </c>
      <c r="J18" s="29">
        <f>VLOOKUP('Pagamento Individual'!$A18,'Caixa Individual'!$B$6:$D$38,3,FALSE())</f>
        <v>372</v>
      </c>
      <c r="O18" s="15" t="s">
        <v>112</v>
      </c>
      <c r="P18" s="15" t="s">
        <v>97</v>
      </c>
      <c r="Q18" s="15">
        <v>0.0</v>
      </c>
      <c r="U18" s="15">
        <v>0.0</v>
      </c>
      <c r="V18" s="15" t="str">
        <f t="shared" si="2"/>
        <v>#N/A</v>
      </c>
    </row>
    <row r="19">
      <c r="A19" s="15" t="s">
        <v>62</v>
      </c>
      <c r="B19" s="18" t="s">
        <v>63</v>
      </c>
      <c r="C19" s="19" t="s">
        <v>24</v>
      </c>
      <c r="D19" s="27" t="s">
        <v>92</v>
      </c>
      <c r="E19" s="28"/>
      <c r="F19" s="28"/>
      <c r="G19" s="28"/>
      <c r="H19" s="28"/>
      <c r="I19" s="28">
        <f>SUM('Pagamento Individual'!$E19:$H19)</f>
        <v>0</v>
      </c>
      <c r="J19" s="29">
        <f>VLOOKUP('Pagamento Individual'!$A19,'Caixa Individual'!$B$6:$D$38,3,FALSE())</f>
        <v>562.57</v>
      </c>
      <c r="O19" s="15" t="s">
        <v>113</v>
      </c>
      <c r="P19" s="15" t="s">
        <v>97</v>
      </c>
      <c r="Q19" s="15" t="s">
        <v>100</v>
      </c>
      <c r="U19" s="15">
        <v>0.0</v>
      </c>
      <c r="V19" s="15" t="str">
        <f t="shared" si="2"/>
        <v>#N/A</v>
      </c>
    </row>
    <row r="20">
      <c r="A20" s="15" t="s">
        <v>64</v>
      </c>
      <c r="B20" s="18" t="s">
        <v>65</v>
      </c>
      <c r="C20" s="19" t="s">
        <v>24</v>
      </c>
      <c r="D20" s="27" t="s">
        <v>97</v>
      </c>
      <c r="E20" s="28"/>
      <c r="F20" s="28"/>
      <c r="G20" s="28"/>
      <c r="H20" s="28"/>
      <c r="I20" s="28">
        <f>SUM('Pagamento Individual'!$E20:$H20)</f>
        <v>0</v>
      </c>
      <c r="J20" s="29">
        <f>VLOOKUP('Pagamento Individual'!$A20,'Caixa Individual'!$B$6:$D$38,3,FALSE())</f>
        <v>362.57</v>
      </c>
      <c r="O20" s="15" t="s">
        <v>114</v>
      </c>
      <c r="P20" s="15" t="s">
        <v>97</v>
      </c>
      <c r="Q20" s="15" t="s">
        <v>100</v>
      </c>
      <c r="U20" s="15">
        <v>0.0</v>
      </c>
      <c r="V20" s="15" t="str">
        <f t="shared" si="2"/>
        <v>#N/A</v>
      </c>
    </row>
    <row r="21" ht="15.75" customHeight="1">
      <c r="A21" s="15" t="s">
        <v>66</v>
      </c>
      <c r="B21" s="18" t="s">
        <v>67</v>
      </c>
      <c r="C21" s="19" t="s">
        <v>24</v>
      </c>
      <c r="D21" s="27" t="s">
        <v>92</v>
      </c>
      <c r="E21" s="28"/>
      <c r="F21" s="28"/>
      <c r="G21" s="28"/>
      <c r="H21" s="28"/>
      <c r="I21" s="28">
        <f>SUM('Pagamento Individual'!$E21:$H21)</f>
        <v>0</v>
      </c>
      <c r="J21" s="29">
        <f>VLOOKUP('Pagamento Individual'!$A21,'Caixa Individual'!$B$6:$D$38,3,FALSE())</f>
        <v>572</v>
      </c>
      <c r="O21" s="15" t="s">
        <v>115</v>
      </c>
      <c r="P21" s="15" t="s">
        <v>97</v>
      </c>
      <c r="Q21" s="15" t="s">
        <v>100</v>
      </c>
      <c r="U21" s="15">
        <v>0.0</v>
      </c>
      <c r="V21" s="15" t="str">
        <f t="shared" si="2"/>
        <v>#N/A</v>
      </c>
    </row>
    <row r="22" ht="15.75" customHeight="1">
      <c r="A22" s="15" t="s">
        <v>68</v>
      </c>
      <c r="B22" s="18" t="s">
        <v>69</v>
      </c>
      <c r="C22" s="19" t="s">
        <v>24</v>
      </c>
      <c r="D22" s="27" t="s">
        <v>92</v>
      </c>
      <c r="E22" s="28">
        <v>372.0</v>
      </c>
      <c r="F22" s="28"/>
      <c r="G22" s="28"/>
      <c r="H22" s="28"/>
      <c r="I22" s="28">
        <f>SUM('Pagamento Individual'!$E22:$H22)</f>
        <v>372</v>
      </c>
      <c r="J22" s="29" t="str">
        <f>VLOOKUP('Pagamento Individual'!$A22,'Caixa Individual'!$B$6:$D$38,3,FALSE())</f>
        <v>OK</v>
      </c>
      <c r="O22" s="15" t="s">
        <v>116</v>
      </c>
      <c r="P22" s="15" t="s">
        <v>97</v>
      </c>
      <c r="Q22" s="15">
        <v>0.0</v>
      </c>
      <c r="U22" s="15">
        <v>0.0</v>
      </c>
      <c r="V22" s="15" t="str">
        <f t="shared" si="2"/>
        <v>#N/A</v>
      </c>
    </row>
    <row r="23" ht="15.75" customHeight="1">
      <c r="A23" s="15" t="s">
        <v>70</v>
      </c>
      <c r="B23" s="18" t="s">
        <v>71</v>
      </c>
      <c r="C23" s="19" t="s">
        <v>17</v>
      </c>
      <c r="D23" s="27" t="s">
        <v>92</v>
      </c>
      <c r="E23" s="28"/>
      <c r="F23" s="28"/>
      <c r="G23" s="28"/>
      <c r="H23" s="28"/>
      <c r="I23" s="28">
        <f>SUM('Pagamento Individual'!$E23:$H23)</f>
        <v>0</v>
      </c>
      <c r="J23" s="29">
        <f>VLOOKUP('Pagamento Individual'!$A23,'Caixa Individual'!$B$6:$D$38,3,FALSE())</f>
        <v>272</v>
      </c>
      <c r="O23" s="15" t="s">
        <v>64</v>
      </c>
      <c r="P23" s="15" t="s">
        <v>97</v>
      </c>
      <c r="Q23" s="15">
        <v>0.0</v>
      </c>
      <c r="U23" s="15">
        <v>0.0</v>
      </c>
      <c r="V23" s="15">
        <v>362.57</v>
      </c>
    </row>
    <row r="24" ht="15.75" customHeight="1">
      <c r="A24" s="15" t="s">
        <v>72</v>
      </c>
      <c r="B24" s="18" t="s">
        <v>73</v>
      </c>
      <c r="C24" s="19" t="s">
        <v>17</v>
      </c>
      <c r="D24" s="27" t="s">
        <v>97</v>
      </c>
      <c r="E24" s="28"/>
      <c r="F24" s="28"/>
      <c r="G24" s="28"/>
      <c r="H24" s="28"/>
      <c r="I24" s="28">
        <f>SUM('Pagamento Individual'!$E24:$H24)</f>
        <v>0</v>
      </c>
      <c r="J24" s="29">
        <f>VLOOKUP('Pagamento Individual'!$A24,'Caixa Individual'!$B$6:$D$38,3,FALSE())</f>
        <v>412.57</v>
      </c>
      <c r="O24" s="15" t="s">
        <v>117</v>
      </c>
      <c r="P24" s="15" t="s">
        <v>97</v>
      </c>
      <c r="Q24" s="15">
        <v>0.0</v>
      </c>
      <c r="U24" s="15">
        <v>0.0</v>
      </c>
      <c r="V24" s="15" t="str">
        <f t="shared" ref="V24:V25" si="3">#N/A</f>
        <v>#N/A</v>
      </c>
    </row>
    <row r="25" ht="15.75" customHeight="1">
      <c r="A25" s="15" t="s">
        <v>76</v>
      </c>
      <c r="B25" s="18" t="s">
        <v>77</v>
      </c>
      <c r="C25" s="19" t="s">
        <v>24</v>
      </c>
      <c r="D25" s="27" t="s">
        <v>92</v>
      </c>
      <c r="E25" s="28"/>
      <c r="F25" s="28"/>
      <c r="G25" s="28"/>
      <c r="H25" s="28"/>
      <c r="I25" s="28">
        <f>SUM('Pagamento Individual'!$E25:$H25)</f>
        <v>0</v>
      </c>
      <c r="J25" s="29">
        <f>VLOOKUP('Pagamento Individual'!$A25,'Caixa Individual'!$B$6:$D$38,3,FALSE())</f>
        <v>447.67</v>
      </c>
      <c r="O25" s="15" t="s">
        <v>118</v>
      </c>
      <c r="P25" s="15" t="s">
        <v>97</v>
      </c>
      <c r="U25" s="15">
        <v>0.0</v>
      </c>
      <c r="V25" s="15" t="str">
        <f t="shared" si="3"/>
        <v>#N/A</v>
      </c>
    </row>
    <row r="26" ht="15.75" customHeight="1">
      <c r="A26" s="15" t="s">
        <v>78</v>
      </c>
      <c r="B26" s="18" t="s">
        <v>79</v>
      </c>
      <c r="C26" s="19" t="s">
        <v>24</v>
      </c>
      <c r="D26" s="27" t="s">
        <v>97</v>
      </c>
      <c r="E26" s="28"/>
      <c r="F26" s="28"/>
      <c r="G26" s="28"/>
      <c r="H26" s="28"/>
      <c r="I26" s="28">
        <f>SUM('Pagamento Individual'!$E26:$H26)</f>
        <v>0</v>
      </c>
      <c r="J26" s="29">
        <f>VLOOKUP('Pagamento Individual'!$A26,'Caixa Individual'!$B$6:$D$38,3,FALSE())</f>
        <v>432.32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3:D26">
      <formula1>"Pagara Total,Pagara Parcial"</formula1>
    </dataValidation>
    <dataValidation type="list" allowBlank="1" showErrorMessage="1" sqref="C3:C26">
      <formula1>"Immortals,Phoenix,Extra"</formula1>
    </dataValidation>
  </dataValidations>
  <printOptions/>
  <pageMargins bottom="0.7875" footer="0.0" header="0.0" left="0.511805555555556" right="0.511805555555556" top="0.7875"/>
  <pageSetup paperSize="9" orientation="portrait"/>
  <drawing r:id="rId1"/>
</worksheet>
</file>